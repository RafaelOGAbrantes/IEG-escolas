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fael Abrantes\Documents\Projetos Python\teste\"/>
    </mc:Choice>
  </mc:AlternateContent>
  <xr:revisionPtr revIDLastSave="0" documentId="13_ncr:1_{D05CC35A-772C-436E-A57C-D8EC857632AC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2" i="1" l="1"/>
</calcChain>
</file>

<file path=xl/sharedStrings.xml><?xml version="1.0" encoding="utf-8"?>
<sst xmlns="http://schemas.openxmlformats.org/spreadsheetml/2006/main" count="126" uniqueCount="80">
  <si>
    <t>10ª GRE</t>
  </si>
  <si>
    <t>Aparecida</t>
  </si>
  <si>
    <t>Lastro</t>
  </si>
  <si>
    <t>Marizópolis</t>
  </si>
  <si>
    <t>ECIT ESTADUAL DOUTOR SILVA MARIZ</t>
  </si>
  <si>
    <t>Nazarezinho</t>
  </si>
  <si>
    <t>EEEF MANOEL MENDES</t>
  </si>
  <si>
    <t>Santa Cruz</t>
  </si>
  <si>
    <t>São Francisco</t>
  </si>
  <si>
    <t>São José da Lagoa Tapada</t>
  </si>
  <si>
    <t>Sousa</t>
  </si>
  <si>
    <t>ECIT ESTADUAL CHIQUINHO CARTAXO</t>
  </si>
  <si>
    <t>EEEF BATISTA LEITE</t>
  </si>
  <si>
    <t>EEEF BENTO FREIRE</t>
  </si>
  <si>
    <t>EEEF DE DEMONSTRACAO DE SOUSA</t>
  </si>
  <si>
    <t>EEEF RENE ALVES RAMALHO</t>
  </si>
  <si>
    <t>EEEFM ANTONIO TEODORO NETO</t>
  </si>
  <si>
    <t>EEEFM CELSO MARIZ</t>
  </si>
  <si>
    <t>EEEFM ESTEVAM MARINHO</t>
  </si>
  <si>
    <t>EEEFM FRANCISCO CICERO SOBRINHO</t>
  </si>
  <si>
    <t>EEEFM IZIDRA PACIFICO DE ARAUJO</t>
  </si>
  <si>
    <t>Vieirópolis</t>
  </si>
  <si>
    <t>EEEF ANTONIA MARIA ANUNCIACAO DONA DONINHA</t>
  </si>
  <si>
    <t>GRE</t>
  </si>
  <si>
    <t>Municipio</t>
  </si>
  <si>
    <t>inep</t>
  </si>
  <si>
    <t>Escola</t>
  </si>
  <si>
    <t>% Estudantes com frequência &gt; 80%</t>
  </si>
  <si>
    <t>% Estudantes com frequência &gt; 90%</t>
  </si>
  <si>
    <t>I1</t>
  </si>
  <si>
    <t>Expectativa Taxa Aprovação</t>
  </si>
  <si>
    <t>2 Expectativa Taxa Aprovação</t>
  </si>
  <si>
    <t>% Estudantes &gt; Média em Português</t>
  </si>
  <si>
    <t>I3</t>
  </si>
  <si>
    <t>% Estudantes &gt; Média em Matemática</t>
  </si>
  <si>
    <t>I4</t>
  </si>
  <si>
    <t>% Estudantes &gt; Média em Humanas</t>
  </si>
  <si>
    <t>I5</t>
  </si>
  <si>
    <t>% Estudantes &gt; Média em Linguagem</t>
  </si>
  <si>
    <t>I6</t>
  </si>
  <si>
    <t>% Estudantes &gt; Média em Natureza</t>
  </si>
  <si>
    <t>I7</t>
  </si>
  <si>
    <t>% Participação SIAVE Somativa 2024</t>
  </si>
  <si>
    <t>I8</t>
  </si>
  <si>
    <t>% Participação SIAVE Diagnóstica 2025</t>
  </si>
  <si>
    <t>I9</t>
  </si>
  <si>
    <t>% Participação SAEB 2023</t>
  </si>
  <si>
    <t>I10</t>
  </si>
  <si>
    <t>% Estudantes Média &lt; 5</t>
  </si>
  <si>
    <t>% Estudantes &gt; Média demais componentes</t>
  </si>
  <si>
    <t>I12</t>
  </si>
  <si>
    <t>% Estudantes sem frequência</t>
  </si>
  <si>
    <t>I13</t>
  </si>
  <si>
    <t>% Inscritos Enem</t>
  </si>
  <si>
    <t>I14</t>
  </si>
  <si>
    <t>% Estudantes FICAI</t>
  </si>
  <si>
    <t>I15</t>
  </si>
  <si>
    <t>% Participação Professores em Formações</t>
  </si>
  <si>
    <t>I16</t>
  </si>
  <si>
    <t>% Participação Gestores em Formações</t>
  </si>
  <si>
    <t>I17</t>
  </si>
  <si>
    <t>IEG</t>
  </si>
  <si>
    <t>IEG Médio</t>
  </si>
  <si>
    <t>ECIT DOUTOR JOSE GADELHA</t>
  </si>
  <si>
    <t>ECI NESTORINA ABRANTES</t>
  </si>
  <si>
    <t>ECI FRANCISCO AUGUSTO CAMPOS</t>
  </si>
  <si>
    <t>EEEF PROFESSOR NESTOR ANTUNES</t>
  </si>
  <si>
    <t>ECIT VALDEMIRO WANDERLEY DE OLIVEIRA</t>
  </si>
  <si>
    <t>ECI DORGIVAL SILVEIRA</t>
  </si>
  <si>
    <t>ECI ANTONIO GREGORIO DE LACERDA</t>
  </si>
  <si>
    <t>EEEFM ANDRE GADELHA</t>
  </si>
  <si>
    <t>EEEFM CONEGO JOAO CARTAXO ROLIM</t>
  </si>
  <si>
    <t>EEEF JAIME MEIRA FONTES</t>
  </si>
  <si>
    <t>EEEFM PROFESSORA DIONE DINIZ OLIVEIRA DIAS</t>
  </si>
  <si>
    <t>ECIT MESTRE JULIO SARMENTO</t>
  </si>
  <si>
    <t>EEEM JOSE DE PAIVA GADELHA</t>
  </si>
  <si>
    <t>EEEFM DOUTOR THOMAZ PIRES</t>
  </si>
  <si>
    <t>ECI MARIA MOREIRA PINTO</t>
  </si>
  <si>
    <t>I11</t>
  </si>
  <si>
    <t>I2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</si>
</sst>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1" xfId="0" applyFont="1" applyFill="1" applyBorder="1"/>
    <xf numFmtId="0" fontId="0" fillId="2" borderId="2" xfId="0" applyFont="1" applyFill="1" applyBorder="1"/>
    <xf numFmtId="0" fontId="0" fillId="2" borderId="3" xfId="0" applyFont="1" applyFill="1" applyBorder="1"/>
    <xf numFmtId="0" fontId="0" fillId="0" borderId="1" xfId="0" applyFont="1" applyBorder="1"/>
    <xf numFmtId="0" fontId="0" fillId="0" borderId="2" xfId="0" applyFont="1" applyBorder="1"/>
    <xf numFmtId="0" fontId="0" fillId="0" borderId="3" xfId="0" applyFont="1" applyBorder="1"/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0" fillId="4" borderId="0" xfId="0" applyFill="1" applyAlignment="1">
      <alignment horizontal="center"/>
    </xf>
    <xf numFmtId="2" fontId="0" fillId="4" borderId="0" xfId="0" applyNumberFormat="1" applyFill="1" applyAlignment="1">
      <alignment horizontal="center"/>
    </xf>
    <xf numFmtId="10" fontId="0" fillId="2" borderId="2" xfId="0" applyNumberFormat="1" applyFont="1" applyFill="1" applyBorder="1"/>
    <xf numFmtId="9" fontId="0" fillId="2" borderId="2" xfId="0" applyNumberFormat="1" applyFont="1" applyFill="1" applyBorder="1"/>
    <xf numFmtId="10" fontId="0" fillId="0" borderId="2" xfId="0" applyNumberFormat="1" applyFont="1" applyBorder="1"/>
    <xf numFmtId="9" fontId="0" fillId="0" borderId="2" xfId="0" applyNumberFormat="1" applyFont="1" applyBorder="1"/>
    <xf numFmtId="2" fontId="0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2"/>
  <sheetViews>
    <sheetView tabSelected="1" workbookViewId="0">
      <selection activeCell="AC13" sqref="AC13"/>
    </sheetView>
  </sheetViews>
  <sheetFormatPr defaultRowHeight="15" x14ac:dyDescent="0.25"/>
  <cols>
    <col min="1" max="1" width="7.7109375" bestFit="1" customWidth="1"/>
    <col min="2" max="2" width="23.5703125" bestFit="1" customWidth="1"/>
    <col min="3" max="3" width="9" bestFit="1" customWidth="1"/>
    <col min="4" max="4" width="49.28515625" bestFit="1" customWidth="1"/>
    <col min="5" max="5" width="5.5703125" bestFit="1" customWidth="1"/>
    <col min="6" max="7" width="33" bestFit="1" customWidth="1"/>
    <col min="8" max="8" width="4" bestFit="1" customWidth="1"/>
    <col min="9" max="9" width="25.85546875" bestFit="1" customWidth="1"/>
    <col min="10" max="10" width="27.28515625" bestFit="1" customWidth="1"/>
    <col min="11" max="11" width="6.85546875" customWidth="1"/>
    <col min="12" max="12" width="33.85546875" bestFit="1" customWidth="1"/>
    <col min="13" max="13" width="8.140625" bestFit="1" customWidth="1"/>
    <col min="14" max="14" width="35.42578125" bestFit="1" customWidth="1"/>
    <col min="15" max="15" width="8.140625" bestFit="1" customWidth="1"/>
    <col min="16" max="16" width="32.85546875" bestFit="1" customWidth="1"/>
    <col min="17" max="17" width="8.140625" bestFit="1" customWidth="1"/>
    <col min="18" max="18" width="34.42578125" bestFit="1" customWidth="1"/>
    <col min="19" max="19" width="8.140625" bestFit="1" customWidth="1"/>
    <col min="20" max="20" width="32.7109375" bestFit="1" customWidth="1"/>
    <col min="21" max="21" width="8.140625" bestFit="1" customWidth="1"/>
    <col min="22" max="22" width="33" bestFit="1" customWidth="1"/>
    <col min="23" max="23" width="8.140625" bestFit="1" customWidth="1"/>
    <col min="24" max="24" width="35.140625" bestFit="1" customWidth="1"/>
    <col min="25" max="25" width="8.140625" bestFit="1" customWidth="1"/>
    <col min="26" max="26" width="23.42578125" bestFit="1" customWidth="1"/>
    <col min="27" max="27" width="8.140625" bestFit="1" customWidth="1"/>
    <col min="28" max="28" width="22.140625" bestFit="1" customWidth="1"/>
    <col min="29" max="29" width="22.140625" customWidth="1"/>
    <col min="30" max="30" width="40.7109375" bestFit="1" customWidth="1"/>
    <col min="31" max="31" width="3.5703125" bestFit="1" customWidth="1"/>
    <col min="32" max="32" width="27.42578125" bestFit="1" customWidth="1"/>
    <col min="33" max="33" width="3.5703125" bestFit="1" customWidth="1"/>
    <col min="34" max="34" width="16" bestFit="1" customWidth="1"/>
    <col min="35" max="35" width="4" bestFit="1" customWidth="1"/>
    <col min="36" max="36" width="18" bestFit="1" customWidth="1"/>
    <col min="37" max="37" width="3.5703125" bestFit="1" customWidth="1"/>
    <col min="38" max="38" width="38.85546875" bestFit="1" customWidth="1"/>
    <col min="39" max="39" width="4" bestFit="1" customWidth="1"/>
    <col min="40" max="40" width="36.28515625" bestFit="1" customWidth="1"/>
    <col min="41" max="41" width="3.5703125" bestFit="1" customWidth="1"/>
    <col min="42" max="42" width="36.28515625" bestFit="1" customWidth="1"/>
    <col min="43" max="43" width="3.5703125" bestFit="1" customWidth="1"/>
  </cols>
  <sheetData>
    <row r="1" spans="1:43" x14ac:dyDescent="0.25">
      <c r="A1" s="7" t="s">
        <v>23</v>
      </c>
      <c r="B1" s="8" t="s">
        <v>24</v>
      </c>
      <c r="C1" s="8" t="s">
        <v>25</v>
      </c>
      <c r="D1" s="8" t="s">
        <v>26</v>
      </c>
      <c r="E1" s="8" t="s">
        <v>61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 t="s">
        <v>79</v>
      </c>
      <c r="L1" s="8" t="s">
        <v>32</v>
      </c>
      <c r="M1" s="8" t="s">
        <v>33</v>
      </c>
      <c r="N1" s="8" t="s">
        <v>34</v>
      </c>
      <c r="O1" s="8" t="s">
        <v>35</v>
      </c>
      <c r="P1" s="8" t="s">
        <v>36</v>
      </c>
      <c r="Q1" s="8" t="s">
        <v>37</v>
      </c>
      <c r="R1" s="8" t="s">
        <v>38</v>
      </c>
      <c r="S1" s="8" t="s">
        <v>39</v>
      </c>
      <c r="T1" s="8" t="s">
        <v>40</v>
      </c>
      <c r="U1" s="8" t="s">
        <v>41</v>
      </c>
      <c r="V1" s="8" t="s">
        <v>42</v>
      </c>
      <c r="W1" s="8" t="s">
        <v>43</v>
      </c>
      <c r="X1" s="8" t="s">
        <v>44</v>
      </c>
      <c r="Y1" s="8" t="s">
        <v>45</v>
      </c>
      <c r="Z1" s="8" t="s">
        <v>46</v>
      </c>
      <c r="AA1" s="8" t="s">
        <v>47</v>
      </c>
      <c r="AB1" s="8" t="s">
        <v>48</v>
      </c>
      <c r="AC1" s="8" t="s">
        <v>78</v>
      </c>
      <c r="AD1" s="8" t="s">
        <v>49</v>
      </c>
      <c r="AE1" s="8" t="s">
        <v>50</v>
      </c>
      <c r="AF1" s="8" t="s">
        <v>51</v>
      </c>
      <c r="AG1" s="8" t="s">
        <v>52</v>
      </c>
      <c r="AH1" s="8" t="s">
        <v>53</v>
      </c>
      <c r="AI1" s="8" t="s">
        <v>54</v>
      </c>
      <c r="AJ1" s="8" t="s">
        <v>55</v>
      </c>
      <c r="AK1" s="8" t="s">
        <v>56</v>
      </c>
      <c r="AL1" s="8" t="s">
        <v>57</v>
      </c>
      <c r="AM1" s="8" t="s">
        <v>58</v>
      </c>
      <c r="AN1" s="8" t="s">
        <v>59</v>
      </c>
      <c r="AO1" s="8" t="s">
        <v>60</v>
      </c>
      <c r="AP1" s="8"/>
      <c r="AQ1" s="9"/>
    </row>
    <row r="2" spans="1:43" x14ac:dyDescent="0.25">
      <c r="A2" s="1" t="s">
        <v>0</v>
      </c>
      <c r="B2" s="2" t="s">
        <v>3</v>
      </c>
      <c r="C2" s="2">
        <v>25019538</v>
      </c>
      <c r="D2" s="2" t="s">
        <v>4</v>
      </c>
      <c r="E2" s="2">
        <v>48</v>
      </c>
      <c r="F2" s="12">
        <v>1</v>
      </c>
      <c r="G2" s="12">
        <v>1</v>
      </c>
      <c r="H2" s="2">
        <v>3</v>
      </c>
      <c r="I2" s="12">
        <v>0.98970000000000002</v>
      </c>
      <c r="J2" s="12">
        <v>1</v>
      </c>
      <c r="K2">
        <v>3</v>
      </c>
      <c r="L2" s="12">
        <v>1</v>
      </c>
      <c r="M2" s="12">
        <v>3</v>
      </c>
      <c r="N2" s="12">
        <v>1</v>
      </c>
      <c r="O2" s="12">
        <v>3</v>
      </c>
      <c r="P2" s="12">
        <v>1</v>
      </c>
      <c r="Q2" s="12">
        <v>3</v>
      </c>
      <c r="R2" s="12">
        <v>1</v>
      </c>
      <c r="S2" s="12">
        <v>3</v>
      </c>
      <c r="T2" s="12">
        <v>1</v>
      </c>
      <c r="U2" s="12">
        <v>3</v>
      </c>
      <c r="V2" s="12">
        <v>1</v>
      </c>
      <c r="W2" s="12">
        <v>3</v>
      </c>
      <c r="X2" s="12">
        <v>1</v>
      </c>
      <c r="Y2" s="12">
        <v>3</v>
      </c>
      <c r="Z2" s="12">
        <v>0.97829999999999995</v>
      </c>
      <c r="AA2" s="12">
        <v>3</v>
      </c>
      <c r="AB2" s="2"/>
      <c r="AC2" s="2">
        <v>3</v>
      </c>
      <c r="AD2" s="12">
        <v>0.87109999999999999</v>
      </c>
      <c r="AE2" s="2">
        <v>0</v>
      </c>
      <c r="AF2" s="12"/>
      <c r="AG2" s="2">
        <v>3</v>
      </c>
      <c r="AH2" s="12">
        <v>0.94230000000000003</v>
      </c>
      <c r="AI2" s="2">
        <v>3</v>
      </c>
      <c r="AJ2" s="12"/>
      <c r="AK2" s="2">
        <v>3</v>
      </c>
      <c r="AL2" s="12">
        <v>1</v>
      </c>
      <c r="AM2" s="2">
        <v>3</v>
      </c>
      <c r="AN2" s="12">
        <v>1</v>
      </c>
      <c r="AO2" s="2">
        <v>3</v>
      </c>
      <c r="AP2" s="13"/>
      <c r="AQ2" s="3"/>
    </row>
    <row r="3" spans="1:43" x14ac:dyDescent="0.25">
      <c r="A3" s="1" t="s">
        <v>0</v>
      </c>
      <c r="B3" s="2" t="s">
        <v>21</v>
      </c>
      <c r="C3" s="2">
        <v>25019740</v>
      </c>
      <c r="D3" s="2" t="s">
        <v>77</v>
      </c>
      <c r="E3" s="2">
        <v>46.5</v>
      </c>
      <c r="F3" s="12">
        <v>1</v>
      </c>
      <c r="G3" s="12">
        <v>0.98770000000000002</v>
      </c>
      <c r="H3" s="2">
        <v>3</v>
      </c>
      <c r="I3" s="12">
        <v>0.96909999999999996</v>
      </c>
      <c r="J3" s="12">
        <v>1</v>
      </c>
      <c r="K3">
        <v>3</v>
      </c>
      <c r="L3" s="12">
        <v>1</v>
      </c>
      <c r="M3" s="12">
        <v>3</v>
      </c>
      <c r="N3" s="12">
        <v>0.96909999999999996</v>
      </c>
      <c r="O3" s="12">
        <v>3</v>
      </c>
      <c r="P3" s="12">
        <v>1</v>
      </c>
      <c r="Q3" s="12">
        <v>3</v>
      </c>
      <c r="R3" s="12">
        <v>0.99380000000000002</v>
      </c>
      <c r="S3" s="12">
        <v>3</v>
      </c>
      <c r="T3" s="12">
        <v>1</v>
      </c>
      <c r="U3" s="12">
        <v>3</v>
      </c>
      <c r="V3" s="12">
        <v>0.93020000000000003</v>
      </c>
      <c r="W3" s="12">
        <v>3</v>
      </c>
      <c r="X3" s="12">
        <v>1</v>
      </c>
      <c r="Y3" s="12">
        <v>3</v>
      </c>
      <c r="Z3" s="12">
        <v>1.0313000000000001</v>
      </c>
      <c r="AA3" s="12">
        <v>3</v>
      </c>
      <c r="AB3" s="12">
        <v>1.8499999999999999E-2</v>
      </c>
      <c r="AC3">
        <v>3</v>
      </c>
      <c r="AD3" s="12"/>
      <c r="AE3" s="2">
        <v>0</v>
      </c>
      <c r="AF3" s="2"/>
      <c r="AG3" s="2">
        <v>3</v>
      </c>
      <c r="AH3" s="12">
        <v>0.97560000000000002</v>
      </c>
      <c r="AI3" s="2">
        <v>3</v>
      </c>
      <c r="AJ3" s="12"/>
      <c r="AK3" s="2">
        <v>3</v>
      </c>
      <c r="AL3" s="12">
        <v>0.92</v>
      </c>
      <c r="AM3" s="2">
        <v>1.5</v>
      </c>
      <c r="AN3" s="12">
        <v>1</v>
      </c>
      <c r="AO3" s="2">
        <v>3</v>
      </c>
      <c r="AP3" s="15"/>
      <c r="AQ3" s="6"/>
    </row>
    <row r="4" spans="1:43" x14ac:dyDescent="0.25">
      <c r="A4" s="4" t="s">
        <v>0</v>
      </c>
      <c r="B4" s="5" t="s">
        <v>21</v>
      </c>
      <c r="C4" s="5">
        <v>25126342</v>
      </c>
      <c r="D4" s="5" t="s">
        <v>22</v>
      </c>
      <c r="E4" s="5">
        <v>45</v>
      </c>
      <c r="F4" s="14">
        <v>0.98799999999999999</v>
      </c>
      <c r="G4" s="14">
        <v>0.92769999999999997</v>
      </c>
      <c r="H4" s="5">
        <v>3</v>
      </c>
      <c r="I4" s="14">
        <v>0.98799999999999999</v>
      </c>
      <c r="J4" s="14">
        <v>1</v>
      </c>
      <c r="K4">
        <v>3</v>
      </c>
      <c r="L4" s="14">
        <v>1</v>
      </c>
      <c r="M4" s="14">
        <v>3</v>
      </c>
      <c r="N4" s="14">
        <v>0.98799999999999999</v>
      </c>
      <c r="O4" s="14">
        <v>3</v>
      </c>
      <c r="P4" s="14">
        <v>1</v>
      </c>
      <c r="Q4" s="14">
        <v>3</v>
      </c>
      <c r="R4" s="14">
        <v>1</v>
      </c>
      <c r="S4" s="14">
        <v>3</v>
      </c>
      <c r="T4" s="14">
        <v>1</v>
      </c>
      <c r="U4" s="14">
        <v>3</v>
      </c>
      <c r="V4" s="14">
        <v>0.95240000000000002</v>
      </c>
      <c r="W4" s="14">
        <v>3</v>
      </c>
      <c r="X4" s="14">
        <v>1</v>
      </c>
      <c r="Y4" s="14">
        <v>3</v>
      </c>
      <c r="Z4" s="14">
        <v>1.087</v>
      </c>
      <c r="AA4" s="14">
        <v>3</v>
      </c>
      <c r="AB4" s="14">
        <v>1.2E-2</v>
      </c>
      <c r="AC4">
        <v>3</v>
      </c>
      <c r="AD4" s="14"/>
      <c r="AE4" s="5">
        <v>0</v>
      </c>
      <c r="AF4" s="14"/>
      <c r="AG4" s="5">
        <v>3</v>
      </c>
      <c r="AH4" s="5"/>
      <c r="AI4" s="5">
        <v>0</v>
      </c>
      <c r="AJ4" s="14"/>
      <c r="AK4" s="5">
        <v>3</v>
      </c>
      <c r="AL4" s="14">
        <v>1</v>
      </c>
      <c r="AM4" s="5">
        <v>3</v>
      </c>
      <c r="AN4" s="14">
        <v>1</v>
      </c>
      <c r="AO4" s="5">
        <v>3</v>
      </c>
      <c r="AP4" s="13"/>
      <c r="AQ4" s="3"/>
    </row>
    <row r="5" spans="1:43" x14ac:dyDescent="0.25">
      <c r="A5" s="1" t="s">
        <v>0</v>
      </c>
      <c r="B5" s="2" t="s">
        <v>10</v>
      </c>
      <c r="C5" s="2">
        <v>25130242</v>
      </c>
      <c r="D5" s="2" t="s">
        <v>11</v>
      </c>
      <c r="E5" s="2">
        <v>42</v>
      </c>
      <c r="F5" s="12">
        <v>1</v>
      </c>
      <c r="G5" s="12">
        <v>0.996</v>
      </c>
      <c r="H5" s="2">
        <v>3</v>
      </c>
      <c r="I5" s="12">
        <v>0.92</v>
      </c>
      <c r="J5" s="12">
        <v>1</v>
      </c>
      <c r="K5">
        <v>1.5</v>
      </c>
      <c r="L5" s="12">
        <v>1</v>
      </c>
      <c r="M5" s="12">
        <v>3</v>
      </c>
      <c r="N5" s="12">
        <v>1</v>
      </c>
      <c r="O5" s="12">
        <v>3</v>
      </c>
      <c r="P5" s="12">
        <v>1</v>
      </c>
      <c r="Q5" s="12">
        <v>3</v>
      </c>
      <c r="R5" s="12">
        <v>1</v>
      </c>
      <c r="S5" s="12">
        <v>3</v>
      </c>
      <c r="T5" s="12">
        <v>1</v>
      </c>
      <c r="U5" s="12">
        <v>3</v>
      </c>
      <c r="V5" s="12">
        <v>0.9</v>
      </c>
      <c r="W5" s="12">
        <v>1.5</v>
      </c>
      <c r="X5" s="12">
        <v>0.97260000000000002</v>
      </c>
      <c r="Y5" s="12">
        <v>3</v>
      </c>
      <c r="Z5" s="12">
        <v>1</v>
      </c>
      <c r="AA5" s="12">
        <v>3</v>
      </c>
      <c r="AB5" s="12">
        <v>6.4000000000000001E-2</v>
      </c>
      <c r="AC5">
        <v>0</v>
      </c>
      <c r="AD5" s="12">
        <v>0.22800000000000001</v>
      </c>
      <c r="AE5" s="2">
        <v>0</v>
      </c>
      <c r="AF5" s="12"/>
      <c r="AG5" s="2">
        <v>3</v>
      </c>
      <c r="AH5" s="12">
        <v>0.98609999999999998</v>
      </c>
      <c r="AI5" s="2">
        <v>3</v>
      </c>
      <c r="AJ5" s="12"/>
      <c r="AK5" s="2">
        <v>3</v>
      </c>
      <c r="AL5" s="12">
        <v>1</v>
      </c>
      <c r="AM5" s="2">
        <v>3</v>
      </c>
      <c r="AN5" s="12">
        <v>1</v>
      </c>
      <c r="AO5" s="2">
        <v>3</v>
      </c>
      <c r="AP5" s="15"/>
      <c r="AQ5" s="6"/>
    </row>
    <row r="6" spans="1:43" x14ac:dyDescent="0.25">
      <c r="A6" s="1" t="s">
        <v>0</v>
      </c>
      <c r="B6" s="2" t="s">
        <v>10</v>
      </c>
      <c r="C6" s="2">
        <v>25018280</v>
      </c>
      <c r="D6" s="2" t="s">
        <v>74</v>
      </c>
      <c r="E6" s="2">
        <v>39</v>
      </c>
      <c r="F6" s="12">
        <v>0.99780000000000002</v>
      </c>
      <c r="G6" s="12">
        <v>0.9194</v>
      </c>
      <c r="H6" s="2">
        <v>3</v>
      </c>
      <c r="I6" s="12">
        <v>0.69720000000000004</v>
      </c>
      <c r="J6" s="12">
        <v>0.93459999999999999</v>
      </c>
      <c r="K6">
        <v>0</v>
      </c>
      <c r="L6" s="12">
        <v>0.91069999999999995</v>
      </c>
      <c r="M6" s="12">
        <v>1.5</v>
      </c>
      <c r="N6" s="12">
        <v>0.92810000000000004</v>
      </c>
      <c r="O6" s="12">
        <v>1.5</v>
      </c>
      <c r="P6" s="12">
        <v>0.99560000000000004</v>
      </c>
      <c r="Q6" s="12">
        <v>3</v>
      </c>
      <c r="R6" s="12">
        <v>0.96299999999999997</v>
      </c>
      <c r="S6" s="12">
        <v>3</v>
      </c>
      <c r="T6" s="12">
        <v>0.95209999999999995</v>
      </c>
      <c r="U6" s="12">
        <v>3</v>
      </c>
      <c r="V6" s="12">
        <v>0.98250000000000004</v>
      </c>
      <c r="W6" s="12">
        <v>3</v>
      </c>
      <c r="X6" s="12">
        <v>0.98060000000000003</v>
      </c>
      <c r="Y6" s="12">
        <v>3</v>
      </c>
      <c r="Z6" s="12">
        <v>1</v>
      </c>
      <c r="AA6" s="12">
        <v>3</v>
      </c>
      <c r="AB6" s="12">
        <v>0.10680000000000001</v>
      </c>
      <c r="AC6">
        <v>0</v>
      </c>
      <c r="AD6" s="12">
        <v>0.64490000000000003</v>
      </c>
      <c r="AE6" s="2">
        <v>0</v>
      </c>
      <c r="AF6" s="12"/>
      <c r="AG6" s="2">
        <v>3</v>
      </c>
      <c r="AH6" s="12">
        <v>1</v>
      </c>
      <c r="AI6" s="2">
        <v>3</v>
      </c>
      <c r="AJ6" s="12"/>
      <c r="AK6" s="2">
        <v>3</v>
      </c>
      <c r="AL6" s="12">
        <v>1</v>
      </c>
      <c r="AM6" s="2">
        <v>3</v>
      </c>
      <c r="AN6" s="12">
        <v>1</v>
      </c>
      <c r="AO6" s="2">
        <v>3</v>
      </c>
      <c r="AP6" s="13"/>
      <c r="AQ6" s="3"/>
    </row>
    <row r="7" spans="1:43" x14ac:dyDescent="0.25">
      <c r="A7" s="1" t="s">
        <v>0</v>
      </c>
      <c r="B7" s="2" t="s">
        <v>10</v>
      </c>
      <c r="C7" s="2">
        <v>25018132</v>
      </c>
      <c r="D7" s="2" t="s">
        <v>13</v>
      </c>
      <c r="E7" s="2">
        <v>39</v>
      </c>
      <c r="F7" s="12">
        <v>0.98929999999999996</v>
      </c>
      <c r="G7" s="12">
        <v>0.94910000000000005</v>
      </c>
      <c r="H7" s="2">
        <v>3</v>
      </c>
      <c r="I7" s="12">
        <v>0.95440000000000003</v>
      </c>
      <c r="J7" s="12">
        <v>0.99729999999999996</v>
      </c>
      <c r="K7">
        <v>3</v>
      </c>
      <c r="L7" s="12">
        <v>0.9839</v>
      </c>
      <c r="M7" s="12">
        <v>3</v>
      </c>
      <c r="N7" s="12">
        <v>0.96250000000000002</v>
      </c>
      <c r="O7" s="12">
        <v>3</v>
      </c>
      <c r="P7" s="12">
        <v>0.99729999999999996</v>
      </c>
      <c r="Q7" s="12">
        <v>3</v>
      </c>
      <c r="R7" s="12">
        <v>1</v>
      </c>
      <c r="S7" s="12">
        <v>3</v>
      </c>
      <c r="T7" s="12">
        <v>0.74260000000000004</v>
      </c>
      <c r="U7" s="12">
        <v>0</v>
      </c>
      <c r="V7" s="12">
        <v>0.9103</v>
      </c>
      <c r="W7" s="12">
        <v>3</v>
      </c>
      <c r="X7" s="12">
        <v>1</v>
      </c>
      <c r="Y7" s="12">
        <v>3</v>
      </c>
      <c r="Z7" s="12">
        <v>0.96050000000000002</v>
      </c>
      <c r="AA7" s="12">
        <v>3</v>
      </c>
      <c r="AB7" s="12">
        <v>8.0000000000000002E-3</v>
      </c>
      <c r="AC7">
        <v>3</v>
      </c>
      <c r="AD7" s="12"/>
      <c r="AE7" s="2">
        <v>0</v>
      </c>
      <c r="AF7" s="2"/>
      <c r="AG7" s="2">
        <v>3</v>
      </c>
      <c r="AH7" s="12"/>
      <c r="AI7" s="2">
        <v>0</v>
      </c>
      <c r="AJ7" s="12">
        <v>1.61E-2</v>
      </c>
      <c r="AK7" s="2">
        <v>3</v>
      </c>
      <c r="AL7" s="12">
        <v>0.64</v>
      </c>
      <c r="AM7" s="2">
        <v>0</v>
      </c>
      <c r="AN7" s="12">
        <v>1</v>
      </c>
      <c r="AO7" s="2">
        <v>3</v>
      </c>
      <c r="AP7" s="15"/>
      <c r="AQ7" s="6"/>
    </row>
    <row r="8" spans="1:43" x14ac:dyDescent="0.25">
      <c r="A8" s="4" t="s">
        <v>0</v>
      </c>
      <c r="B8" s="5" t="s">
        <v>10</v>
      </c>
      <c r="C8" s="5">
        <v>25130846</v>
      </c>
      <c r="D8" s="5" t="s">
        <v>15</v>
      </c>
      <c r="E8" s="5">
        <v>36</v>
      </c>
      <c r="F8" s="14">
        <v>0.9859</v>
      </c>
      <c r="G8" s="14">
        <v>0.9718</v>
      </c>
      <c r="H8" s="5">
        <v>3</v>
      </c>
      <c r="I8" s="14">
        <v>1</v>
      </c>
      <c r="J8" s="14">
        <v>1</v>
      </c>
      <c r="K8">
        <v>3</v>
      </c>
      <c r="L8" s="14">
        <v>0.9859</v>
      </c>
      <c r="M8" s="14">
        <v>3</v>
      </c>
      <c r="N8" s="14">
        <v>0.9859</v>
      </c>
      <c r="O8" s="14">
        <v>3</v>
      </c>
      <c r="P8" s="14">
        <v>0.9859</v>
      </c>
      <c r="Q8" s="14">
        <v>3</v>
      </c>
      <c r="R8" s="14">
        <v>1</v>
      </c>
      <c r="S8" s="14">
        <v>3</v>
      </c>
      <c r="T8" s="14">
        <v>1</v>
      </c>
      <c r="U8" s="14">
        <v>3</v>
      </c>
      <c r="V8" s="5"/>
      <c r="W8" s="14">
        <v>0</v>
      </c>
      <c r="X8" s="14">
        <v>1</v>
      </c>
      <c r="Y8" s="14">
        <v>3</v>
      </c>
      <c r="Z8" s="5"/>
      <c r="AA8" s="14">
        <v>0</v>
      </c>
      <c r="AB8" s="5"/>
      <c r="AC8" s="5">
        <v>3</v>
      </c>
      <c r="AD8" s="14"/>
      <c r="AE8" s="5">
        <v>0</v>
      </c>
      <c r="AF8" s="5"/>
      <c r="AG8" s="5">
        <v>3</v>
      </c>
      <c r="AH8" s="14"/>
      <c r="AI8" s="5">
        <v>0</v>
      </c>
      <c r="AJ8" s="14"/>
      <c r="AK8" s="5">
        <v>3</v>
      </c>
      <c r="AL8" s="14">
        <v>0.67</v>
      </c>
      <c r="AM8" s="5">
        <v>0</v>
      </c>
      <c r="AN8" s="14">
        <v>1</v>
      </c>
      <c r="AO8" s="5">
        <v>3</v>
      </c>
      <c r="AP8" s="13"/>
      <c r="AQ8" s="3"/>
    </row>
    <row r="9" spans="1:43" x14ac:dyDescent="0.25">
      <c r="A9" s="4" t="s">
        <v>0</v>
      </c>
      <c r="B9" s="5" t="s">
        <v>10</v>
      </c>
      <c r="C9" s="5">
        <v>25019228</v>
      </c>
      <c r="D9" s="5" t="s">
        <v>16</v>
      </c>
      <c r="E9" s="5">
        <v>36</v>
      </c>
      <c r="F9" s="14">
        <v>0.93010000000000004</v>
      </c>
      <c r="G9" s="14">
        <v>0.72430000000000005</v>
      </c>
      <c r="H9" s="5">
        <v>3</v>
      </c>
      <c r="I9" s="14">
        <v>0.6875</v>
      </c>
      <c r="J9" s="14">
        <v>0.96689999999999998</v>
      </c>
      <c r="K9">
        <v>0</v>
      </c>
      <c r="L9" s="14">
        <v>0.94489999999999996</v>
      </c>
      <c r="M9" s="14">
        <v>3</v>
      </c>
      <c r="N9" s="14">
        <v>0.91539999999999999</v>
      </c>
      <c r="O9" s="14">
        <v>1.5</v>
      </c>
      <c r="P9" s="14">
        <v>0.95960000000000001</v>
      </c>
      <c r="Q9" s="14">
        <v>3</v>
      </c>
      <c r="R9" s="14">
        <v>0.97060000000000002</v>
      </c>
      <c r="S9" s="14">
        <v>3</v>
      </c>
      <c r="T9" s="14">
        <v>0.96689999999999998</v>
      </c>
      <c r="U9" s="14">
        <v>3</v>
      </c>
      <c r="V9" s="14">
        <v>1.0273000000000001</v>
      </c>
      <c r="W9" s="14">
        <v>3</v>
      </c>
      <c r="X9" s="14">
        <v>1</v>
      </c>
      <c r="Y9" s="14">
        <v>3</v>
      </c>
      <c r="Z9" s="14">
        <v>1</v>
      </c>
      <c r="AA9" s="14">
        <v>3</v>
      </c>
      <c r="AB9" s="14">
        <v>0.19850000000000001</v>
      </c>
      <c r="AC9">
        <v>0</v>
      </c>
      <c r="AD9" s="14"/>
      <c r="AE9" s="5">
        <v>0</v>
      </c>
      <c r="AF9" s="5"/>
      <c r="AG9" s="5">
        <v>3</v>
      </c>
      <c r="AH9" s="14">
        <v>0.91839999999999999</v>
      </c>
      <c r="AI9" s="5">
        <v>1.5</v>
      </c>
      <c r="AJ9" s="14">
        <v>3.3099999999999997E-2</v>
      </c>
      <c r="AK9" s="5">
        <v>3</v>
      </c>
      <c r="AL9" s="14">
        <v>0.73</v>
      </c>
      <c r="AM9" s="5">
        <v>0</v>
      </c>
      <c r="AN9" s="14">
        <v>1</v>
      </c>
      <c r="AO9" s="5">
        <v>3</v>
      </c>
      <c r="AP9" s="15"/>
      <c r="AQ9" s="6"/>
    </row>
    <row r="10" spans="1:43" x14ac:dyDescent="0.25">
      <c r="A10" s="1" t="s">
        <v>0</v>
      </c>
      <c r="B10" s="2" t="s">
        <v>10</v>
      </c>
      <c r="C10" s="2">
        <v>25018221</v>
      </c>
      <c r="D10" s="2" t="s">
        <v>71</v>
      </c>
      <c r="E10" s="2">
        <v>36</v>
      </c>
      <c r="F10" s="12">
        <v>0.98780000000000001</v>
      </c>
      <c r="G10" s="12">
        <v>0.93899999999999995</v>
      </c>
      <c r="H10" s="2">
        <v>3</v>
      </c>
      <c r="I10" s="12">
        <v>0.878</v>
      </c>
      <c r="J10" s="12">
        <v>0.98170000000000002</v>
      </c>
      <c r="K10">
        <v>0</v>
      </c>
      <c r="L10" s="12">
        <v>0.96950000000000003</v>
      </c>
      <c r="M10" s="12">
        <v>3</v>
      </c>
      <c r="N10" s="12">
        <v>0.98780000000000001</v>
      </c>
      <c r="O10" s="12">
        <v>3</v>
      </c>
      <c r="P10" s="12">
        <v>0.99390000000000001</v>
      </c>
      <c r="Q10" s="12">
        <v>3</v>
      </c>
      <c r="R10" s="12">
        <v>0.98170000000000002</v>
      </c>
      <c r="S10" s="12">
        <v>3</v>
      </c>
      <c r="T10" s="12">
        <v>0.96950000000000003</v>
      </c>
      <c r="U10" s="12">
        <v>3</v>
      </c>
      <c r="V10" s="12">
        <v>1</v>
      </c>
      <c r="W10" s="12">
        <v>3</v>
      </c>
      <c r="X10" s="12">
        <v>1</v>
      </c>
      <c r="Y10" s="12">
        <v>3</v>
      </c>
      <c r="Z10" s="12">
        <v>0.96879999999999999</v>
      </c>
      <c r="AA10" s="12">
        <v>3</v>
      </c>
      <c r="AB10" s="12">
        <v>7.9299999999999995E-2</v>
      </c>
      <c r="AC10">
        <v>0</v>
      </c>
      <c r="AD10" s="12"/>
      <c r="AE10" s="2">
        <v>0</v>
      </c>
      <c r="AF10" s="2"/>
      <c r="AG10" s="2">
        <v>3</v>
      </c>
      <c r="AH10" s="12"/>
      <c r="AI10" s="2">
        <v>0</v>
      </c>
      <c r="AJ10" s="12">
        <v>3.0499999999999999E-2</v>
      </c>
      <c r="AK10" s="2">
        <v>3</v>
      </c>
      <c r="AL10" s="12">
        <v>0.5</v>
      </c>
      <c r="AM10" s="2">
        <v>0</v>
      </c>
      <c r="AN10" s="12">
        <v>1</v>
      </c>
      <c r="AO10" s="2">
        <v>3</v>
      </c>
      <c r="AP10" s="13"/>
      <c r="AQ10" s="3"/>
    </row>
    <row r="11" spans="1:43" x14ac:dyDescent="0.25">
      <c r="A11" s="4" t="s">
        <v>0</v>
      </c>
      <c r="B11" s="5" t="s">
        <v>5</v>
      </c>
      <c r="C11" s="5">
        <v>25014951</v>
      </c>
      <c r="D11" s="5" t="s">
        <v>65</v>
      </c>
      <c r="E11" s="5">
        <v>34.5</v>
      </c>
      <c r="F11" s="14">
        <v>1</v>
      </c>
      <c r="G11" s="14">
        <v>1</v>
      </c>
      <c r="H11" s="5">
        <v>3</v>
      </c>
      <c r="I11" s="14">
        <v>0.70320000000000005</v>
      </c>
      <c r="J11" s="14">
        <v>0.93149999999999999</v>
      </c>
      <c r="K11">
        <v>0</v>
      </c>
      <c r="L11" s="14">
        <v>0.92689999999999995</v>
      </c>
      <c r="M11" s="14">
        <v>1.5</v>
      </c>
      <c r="N11" s="14">
        <v>0.91320000000000001</v>
      </c>
      <c r="O11" s="14">
        <v>1.5</v>
      </c>
      <c r="P11" s="14">
        <v>0.94979999999999998</v>
      </c>
      <c r="Q11" s="14">
        <v>3</v>
      </c>
      <c r="R11" s="14">
        <v>0.95430000000000004</v>
      </c>
      <c r="S11" s="14">
        <v>3</v>
      </c>
      <c r="T11" s="14">
        <v>0.90869999999999995</v>
      </c>
      <c r="U11" s="14">
        <v>1.5</v>
      </c>
      <c r="V11" s="14">
        <v>0.9385</v>
      </c>
      <c r="W11" s="14">
        <v>3</v>
      </c>
      <c r="X11" s="14">
        <v>0.96830000000000005</v>
      </c>
      <c r="Y11" s="14">
        <v>3</v>
      </c>
      <c r="Z11" s="14">
        <v>1</v>
      </c>
      <c r="AA11" s="14">
        <v>3</v>
      </c>
      <c r="AB11" s="14">
        <v>0.105</v>
      </c>
      <c r="AC11">
        <v>0</v>
      </c>
      <c r="AD11" s="14"/>
      <c r="AE11" s="5">
        <v>0</v>
      </c>
      <c r="AF11" s="14"/>
      <c r="AG11" s="5">
        <v>3</v>
      </c>
      <c r="AH11" s="14">
        <v>0.98360000000000003</v>
      </c>
      <c r="AI11" s="5">
        <v>3</v>
      </c>
      <c r="AJ11" s="14"/>
      <c r="AK11" s="5">
        <v>3</v>
      </c>
      <c r="AL11" s="14">
        <v>0.88</v>
      </c>
      <c r="AM11" s="5">
        <v>0</v>
      </c>
      <c r="AN11" s="14">
        <v>1</v>
      </c>
      <c r="AO11" s="5">
        <v>3</v>
      </c>
      <c r="AP11" s="15"/>
      <c r="AQ11" s="6"/>
    </row>
    <row r="12" spans="1:43" x14ac:dyDescent="0.25">
      <c r="A12" s="4" t="s">
        <v>0</v>
      </c>
      <c r="B12" s="5" t="s">
        <v>2</v>
      </c>
      <c r="C12" s="5">
        <v>25014412</v>
      </c>
      <c r="D12" s="5" t="s">
        <v>64</v>
      </c>
      <c r="E12" s="5">
        <v>34.5</v>
      </c>
      <c r="F12" s="14">
        <v>1</v>
      </c>
      <c r="G12" s="14">
        <v>0.94579999999999997</v>
      </c>
      <c r="H12" s="5">
        <v>3</v>
      </c>
      <c r="I12" s="14">
        <v>0.57230000000000003</v>
      </c>
      <c r="J12" s="14">
        <v>0.90359999999999996</v>
      </c>
      <c r="K12">
        <v>0</v>
      </c>
      <c r="L12" s="14">
        <v>0.86750000000000005</v>
      </c>
      <c r="M12" s="14">
        <v>0</v>
      </c>
      <c r="N12" s="14">
        <v>0.87350000000000005</v>
      </c>
      <c r="O12" s="14">
        <v>0</v>
      </c>
      <c r="P12" s="14">
        <v>0.96989999999999998</v>
      </c>
      <c r="Q12" s="14">
        <v>3</v>
      </c>
      <c r="R12" s="14">
        <v>0.95779999999999998</v>
      </c>
      <c r="S12" s="14">
        <v>3</v>
      </c>
      <c r="T12" s="14">
        <v>0.94579999999999997</v>
      </c>
      <c r="U12" s="14">
        <v>3</v>
      </c>
      <c r="V12" s="14">
        <v>0.96430000000000005</v>
      </c>
      <c r="W12" s="14">
        <v>3</v>
      </c>
      <c r="X12" s="14">
        <v>1</v>
      </c>
      <c r="Y12" s="14">
        <v>3</v>
      </c>
      <c r="Z12" s="14">
        <v>1</v>
      </c>
      <c r="AA12" s="14">
        <v>3</v>
      </c>
      <c r="AB12" s="14">
        <v>0.15060000000000001</v>
      </c>
      <c r="AC12">
        <v>0</v>
      </c>
      <c r="AD12" s="14"/>
      <c r="AE12" s="5">
        <v>0</v>
      </c>
      <c r="AF12" s="14"/>
      <c r="AG12" s="5">
        <v>3</v>
      </c>
      <c r="AH12" s="14">
        <v>0.97619999999999996</v>
      </c>
      <c r="AI12" s="5">
        <v>3</v>
      </c>
      <c r="AJ12" s="14"/>
      <c r="AK12" s="5">
        <v>3</v>
      </c>
      <c r="AL12" s="14">
        <v>0.92</v>
      </c>
      <c r="AM12" s="5">
        <v>1.5</v>
      </c>
      <c r="AN12" s="14">
        <v>1</v>
      </c>
      <c r="AO12" s="5">
        <v>3</v>
      </c>
      <c r="AP12" s="13"/>
      <c r="AQ12" s="3"/>
    </row>
    <row r="13" spans="1:43" x14ac:dyDescent="0.25">
      <c r="A13" s="1" t="s">
        <v>0</v>
      </c>
      <c r="B13" s="2" t="s">
        <v>7</v>
      </c>
      <c r="C13" s="2">
        <v>25017080</v>
      </c>
      <c r="D13" s="2" t="s">
        <v>67</v>
      </c>
      <c r="E13" s="2">
        <v>34.5</v>
      </c>
      <c r="F13" s="12">
        <v>0.98209999999999997</v>
      </c>
      <c r="G13" s="12">
        <v>0.875</v>
      </c>
      <c r="H13" s="2">
        <v>3</v>
      </c>
      <c r="I13" s="12">
        <v>0.72619999999999996</v>
      </c>
      <c r="J13" s="12">
        <v>0.89880000000000004</v>
      </c>
      <c r="K13">
        <v>0</v>
      </c>
      <c r="L13" s="12">
        <v>0.89290000000000003</v>
      </c>
      <c r="M13" s="12">
        <v>0</v>
      </c>
      <c r="N13" s="12">
        <v>1</v>
      </c>
      <c r="O13" s="12">
        <v>3</v>
      </c>
      <c r="P13" s="12">
        <v>0.92259999999999998</v>
      </c>
      <c r="Q13" s="12">
        <v>1.5</v>
      </c>
      <c r="R13" s="12">
        <v>0.96430000000000005</v>
      </c>
      <c r="S13" s="12">
        <v>3</v>
      </c>
      <c r="T13" s="12">
        <v>0.9405</v>
      </c>
      <c r="U13" s="12">
        <v>3</v>
      </c>
      <c r="V13" s="12">
        <v>0.96489999999999998</v>
      </c>
      <c r="W13" s="12">
        <v>3</v>
      </c>
      <c r="X13" s="12">
        <v>0.94440000000000002</v>
      </c>
      <c r="Y13" s="12">
        <v>3</v>
      </c>
      <c r="Z13" s="12">
        <v>1.0238</v>
      </c>
      <c r="AA13" s="12">
        <v>3</v>
      </c>
      <c r="AB13" s="12">
        <v>0.1429</v>
      </c>
      <c r="AC13">
        <v>0</v>
      </c>
      <c r="AD13" s="12">
        <v>0.99399999999999999</v>
      </c>
      <c r="AE13" s="2">
        <v>3</v>
      </c>
      <c r="AF13" s="12"/>
      <c r="AG13" s="2">
        <v>3</v>
      </c>
      <c r="AH13" s="12">
        <v>0.89090000000000003</v>
      </c>
      <c r="AI13" s="2">
        <v>0</v>
      </c>
      <c r="AJ13" s="12"/>
      <c r="AK13" s="2">
        <v>3</v>
      </c>
      <c r="AL13" s="12">
        <v>1</v>
      </c>
      <c r="AM13" s="2">
        <v>3</v>
      </c>
      <c r="AN13" s="12">
        <v>1</v>
      </c>
      <c r="AO13" s="2">
        <v>3</v>
      </c>
      <c r="AP13" s="15"/>
      <c r="AQ13" s="6"/>
    </row>
    <row r="14" spans="1:43" x14ac:dyDescent="0.25">
      <c r="A14" s="4" t="s">
        <v>0</v>
      </c>
      <c r="B14" s="5" t="s">
        <v>7</v>
      </c>
      <c r="C14" s="5">
        <v>25017071</v>
      </c>
      <c r="D14" s="5" t="s">
        <v>66</v>
      </c>
      <c r="E14" s="5">
        <v>34.5</v>
      </c>
      <c r="F14" s="14">
        <v>0.98160000000000003</v>
      </c>
      <c r="G14" s="14">
        <v>0.92020000000000002</v>
      </c>
      <c r="H14" s="5">
        <v>3</v>
      </c>
      <c r="I14" s="14">
        <v>0.7853</v>
      </c>
      <c r="J14" s="14">
        <v>0.98770000000000002</v>
      </c>
      <c r="K14">
        <v>0</v>
      </c>
      <c r="L14" s="14">
        <v>0.96319999999999995</v>
      </c>
      <c r="M14" s="14">
        <v>3</v>
      </c>
      <c r="N14" s="14">
        <v>0.92020000000000002</v>
      </c>
      <c r="O14" s="14">
        <v>1.5</v>
      </c>
      <c r="P14" s="14">
        <v>0.96930000000000005</v>
      </c>
      <c r="Q14" s="14">
        <v>3</v>
      </c>
      <c r="R14" s="14">
        <v>0.98770000000000002</v>
      </c>
      <c r="S14" s="14">
        <v>3</v>
      </c>
      <c r="T14" s="14">
        <v>0.97550000000000003</v>
      </c>
      <c r="U14" s="14">
        <v>3</v>
      </c>
      <c r="V14" s="14">
        <v>0.94</v>
      </c>
      <c r="W14" s="14">
        <v>3</v>
      </c>
      <c r="X14" s="14">
        <v>1</v>
      </c>
      <c r="Y14" s="14">
        <v>3</v>
      </c>
      <c r="Z14" s="14">
        <v>0.96919999999999995</v>
      </c>
      <c r="AA14" s="14">
        <v>3</v>
      </c>
      <c r="AB14" s="14">
        <v>6.7500000000000004E-2</v>
      </c>
      <c r="AC14">
        <v>0</v>
      </c>
      <c r="AD14" s="14"/>
      <c r="AE14" s="5">
        <v>0</v>
      </c>
      <c r="AF14" s="14"/>
      <c r="AG14" s="5">
        <v>3</v>
      </c>
      <c r="AH14" s="14"/>
      <c r="AI14" s="5">
        <v>0</v>
      </c>
      <c r="AJ14" s="14"/>
      <c r="AK14" s="5">
        <v>3</v>
      </c>
      <c r="AL14" s="14">
        <v>0.71</v>
      </c>
      <c r="AM14" s="5">
        <v>0</v>
      </c>
      <c r="AN14" s="14">
        <v>1</v>
      </c>
      <c r="AO14" s="5">
        <v>3</v>
      </c>
      <c r="AP14" s="13"/>
      <c r="AQ14" s="3"/>
    </row>
    <row r="15" spans="1:43" x14ac:dyDescent="0.25">
      <c r="A15" s="4" t="s">
        <v>0</v>
      </c>
      <c r="B15" s="5" t="s">
        <v>10</v>
      </c>
      <c r="C15" s="5">
        <v>25018060</v>
      </c>
      <c r="D15" s="5" t="s">
        <v>20</v>
      </c>
      <c r="E15" s="5">
        <v>34.5</v>
      </c>
      <c r="F15" s="14">
        <v>0.96740000000000004</v>
      </c>
      <c r="G15" s="14">
        <v>0.89670000000000005</v>
      </c>
      <c r="H15" s="5">
        <v>3</v>
      </c>
      <c r="I15" s="14">
        <v>0.69569999999999999</v>
      </c>
      <c r="J15" s="14">
        <v>0.95650000000000002</v>
      </c>
      <c r="K15">
        <v>0</v>
      </c>
      <c r="L15" s="14">
        <v>0.91849999999999998</v>
      </c>
      <c r="M15" s="14">
        <v>1.5</v>
      </c>
      <c r="N15" s="14">
        <v>0.9022</v>
      </c>
      <c r="O15" s="14">
        <v>1.5</v>
      </c>
      <c r="P15" s="14">
        <v>0.91849999999999998</v>
      </c>
      <c r="Q15" s="14">
        <v>1.5</v>
      </c>
      <c r="R15" s="14">
        <v>0.97829999999999995</v>
      </c>
      <c r="S15" s="14">
        <v>3</v>
      </c>
      <c r="T15" s="14">
        <v>0.97829999999999995</v>
      </c>
      <c r="U15" s="14">
        <v>3</v>
      </c>
      <c r="V15" s="14">
        <v>0.98</v>
      </c>
      <c r="W15" s="14">
        <v>3</v>
      </c>
      <c r="X15" s="14">
        <v>1</v>
      </c>
      <c r="Y15" s="14">
        <v>3</v>
      </c>
      <c r="Z15" s="14">
        <v>1.0204</v>
      </c>
      <c r="AA15" s="14">
        <v>3</v>
      </c>
      <c r="AB15" s="14">
        <v>0.1522</v>
      </c>
      <c r="AC15">
        <v>0</v>
      </c>
      <c r="AD15" s="14"/>
      <c r="AE15" s="5">
        <v>0</v>
      </c>
      <c r="AF15" s="14"/>
      <c r="AG15" s="5">
        <v>3</v>
      </c>
      <c r="AH15" s="14">
        <v>0.875</v>
      </c>
      <c r="AI15" s="5">
        <v>0</v>
      </c>
      <c r="AJ15" s="14">
        <v>3.7999999999999999E-2</v>
      </c>
      <c r="AK15" s="5">
        <v>3</v>
      </c>
      <c r="AL15" s="14">
        <v>0.94</v>
      </c>
      <c r="AM15" s="5">
        <v>3</v>
      </c>
      <c r="AN15" s="14">
        <v>1</v>
      </c>
      <c r="AO15" s="5">
        <v>3</v>
      </c>
      <c r="AP15" s="15"/>
      <c r="AQ15" s="6"/>
    </row>
    <row r="16" spans="1:43" x14ac:dyDescent="0.25">
      <c r="A16" s="1" t="s">
        <v>0</v>
      </c>
      <c r="B16" s="2" t="s">
        <v>9</v>
      </c>
      <c r="C16" s="2">
        <v>25017438</v>
      </c>
      <c r="D16" s="2" t="s">
        <v>69</v>
      </c>
      <c r="E16" s="2">
        <v>33</v>
      </c>
      <c r="F16" s="12">
        <v>0.95730000000000004</v>
      </c>
      <c r="G16" s="12">
        <v>0.85040000000000004</v>
      </c>
      <c r="H16" s="2">
        <v>3</v>
      </c>
      <c r="I16" s="12">
        <v>0.65810000000000002</v>
      </c>
      <c r="J16" s="12">
        <v>0.89739999999999998</v>
      </c>
      <c r="K16">
        <v>0</v>
      </c>
      <c r="L16" s="12">
        <v>0.89739999999999998</v>
      </c>
      <c r="M16" s="12">
        <v>0</v>
      </c>
      <c r="N16" s="12">
        <v>0.76070000000000004</v>
      </c>
      <c r="O16" s="12">
        <v>0</v>
      </c>
      <c r="P16" s="12">
        <v>0.94020000000000004</v>
      </c>
      <c r="Q16" s="12">
        <v>3</v>
      </c>
      <c r="R16" s="12">
        <v>0.95299999999999996</v>
      </c>
      <c r="S16" s="12">
        <v>3</v>
      </c>
      <c r="T16" s="12">
        <v>0.86750000000000005</v>
      </c>
      <c r="U16" s="12">
        <v>0</v>
      </c>
      <c r="V16" s="12">
        <v>1</v>
      </c>
      <c r="W16" s="12">
        <v>3</v>
      </c>
      <c r="X16" s="12">
        <v>0.93879999999999997</v>
      </c>
      <c r="Y16" s="12">
        <v>3</v>
      </c>
      <c r="Z16" s="12">
        <v>0.97619999999999996</v>
      </c>
      <c r="AA16" s="12">
        <v>3</v>
      </c>
      <c r="AB16" s="12">
        <v>0.21790000000000001</v>
      </c>
      <c r="AC16">
        <v>0</v>
      </c>
      <c r="AD16" s="12"/>
      <c r="AE16" s="2">
        <v>0</v>
      </c>
      <c r="AF16" s="12"/>
      <c r="AG16" s="2">
        <v>3</v>
      </c>
      <c r="AH16" s="12">
        <v>0.94</v>
      </c>
      <c r="AI16" s="2">
        <v>3</v>
      </c>
      <c r="AJ16" s="12"/>
      <c r="AK16" s="2">
        <v>3</v>
      </c>
      <c r="AL16" s="12">
        <v>0.94</v>
      </c>
      <c r="AM16" s="2">
        <v>3</v>
      </c>
      <c r="AN16" s="12">
        <v>1</v>
      </c>
      <c r="AO16" s="2">
        <v>3</v>
      </c>
      <c r="AP16" s="13"/>
      <c r="AQ16" s="3"/>
    </row>
    <row r="17" spans="1:43" x14ac:dyDescent="0.25">
      <c r="A17" s="4" t="s">
        <v>0</v>
      </c>
      <c r="B17" s="5" t="s">
        <v>10</v>
      </c>
      <c r="C17" s="5">
        <v>25018582</v>
      </c>
      <c r="D17" s="5" t="s">
        <v>75</v>
      </c>
      <c r="E17" s="5">
        <v>33</v>
      </c>
      <c r="F17" s="14">
        <v>0.91669999999999996</v>
      </c>
      <c r="G17" s="14">
        <v>0.63109999999999999</v>
      </c>
      <c r="H17" s="5">
        <v>3</v>
      </c>
      <c r="I17" s="14">
        <v>0.56689999999999996</v>
      </c>
      <c r="J17" s="14">
        <v>0.89749999999999996</v>
      </c>
      <c r="K17">
        <v>0</v>
      </c>
      <c r="L17" s="14">
        <v>0.91390000000000005</v>
      </c>
      <c r="M17" s="14">
        <v>1.5</v>
      </c>
      <c r="N17" s="14">
        <v>0.81969999999999998</v>
      </c>
      <c r="O17" s="14">
        <v>0</v>
      </c>
      <c r="P17" s="14">
        <v>0.94399999999999995</v>
      </c>
      <c r="Q17" s="14">
        <v>3</v>
      </c>
      <c r="R17" s="14">
        <v>0.99039999999999995</v>
      </c>
      <c r="S17" s="14">
        <v>3</v>
      </c>
      <c r="T17" s="14">
        <v>0.88390000000000002</v>
      </c>
      <c r="U17" s="14">
        <v>0</v>
      </c>
      <c r="V17" s="14">
        <v>0.9708</v>
      </c>
      <c r="W17" s="14">
        <v>3</v>
      </c>
      <c r="X17" s="14">
        <v>0.97709999999999997</v>
      </c>
      <c r="Y17" s="14">
        <v>3</v>
      </c>
      <c r="Z17" s="14">
        <v>0.99480000000000002</v>
      </c>
      <c r="AA17" s="14">
        <v>3</v>
      </c>
      <c r="AB17" s="14">
        <v>0.20219999999999999</v>
      </c>
      <c r="AC17">
        <v>0</v>
      </c>
      <c r="AD17" s="14"/>
      <c r="AE17" s="5">
        <v>0</v>
      </c>
      <c r="AF17" s="5"/>
      <c r="AG17" s="5">
        <v>3</v>
      </c>
      <c r="AH17" s="14">
        <v>0.96240000000000003</v>
      </c>
      <c r="AI17" s="5">
        <v>3</v>
      </c>
      <c r="AJ17" s="14">
        <v>1.4E-3</v>
      </c>
      <c r="AK17" s="5">
        <v>3</v>
      </c>
      <c r="AL17" s="14">
        <v>0.92</v>
      </c>
      <c r="AM17" s="5">
        <v>1.5</v>
      </c>
      <c r="AN17" s="14">
        <v>1</v>
      </c>
      <c r="AO17" s="5">
        <v>3</v>
      </c>
      <c r="AP17" s="15"/>
      <c r="AQ17" s="6"/>
    </row>
    <row r="18" spans="1:43" x14ac:dyDescent="0.25">
      <c r="A18" s="4" t="s">
        <v>0</v>
      </c>
      <c r="B18" s="5" t="s">
        <v>8</v>
      </c>
      <c r="C18" s="5">
        <v>25019597</v>
      </c>
      <c r="D18" s="5" t="s">
        <v>68</v>
      </c>
      <c r="E18" s="16">
        <v>31.5</v>
      </c>
      <c r="F18" s="14">
        <v>0.96340000000000003</v>
      </c>
      <c r="G18" s="14">
        <v>0.85980000000000001</v>
      </c>
      <c r="H18" s="5">
        <v>3</v>
      </c>
      <c r="I18" s="14">
        <v>0.57930000000000004</v>
      </c>
      <c r="J18" s="14">
        <v>0.90239999999999998</v>
      </c>
      <c r="K18">
        <v>0</v>
      </c>
      <c r="L18" s="14">
        <v>0.92069999999999996</v>
      </c>
      <c r="M18" s="14">
        <v>1.5</v>
      </c>
      <c r="N18" s="14">
        <v>0.75</v>
      </c>
      <c r="O18" s="14">
        <v>0</v>
      </c>
      <c r="P18" s="14">
        <v>0.96950000000000003</v>
      </c>
      <c r="Q18" s="14">
        <v>3</v>
      </c>
      <c r="R18" s="14">
        <v>0.95730000000000004</v>
      </c>
      <c r="S18" s="14">
        <v>3</v>
      </c>
      <c r="T18" s="14">
        <v>0.8659</v>
      </c>
      <c r="U18" s="14">
        <v>0</v>
      </c>
      <c r="V18" s="14">
        <v>1</v>
      </c>
      <c r="W18" s="14">
        <v>3</v>
      </c>
      <c r="X18" s="14">
        <v>1</v>
      </c>
      <c r="Y18" s="14">
        <v>3</v>
      </c>
      <c r="Z18" s="14">
        <v>1</v>
      </c>
      <c r="AA18" s="14">
        <v>3</v>
      </c>
      <c r="AB18" s="14">
        <v>0.20119999999999999</v>
      </c>
      <c r="AC18">
        <v>0</v>
      </c>
      <c r="AD18" s="14"/>
      <c r="AE18" s="5">
        <v>0</v>
      </c>
      <c r="AF18" s="5"/>
      <c r="AG18" s="5">
        <v>3</v>
      </c>
      <c r="AH18" s="14">
        <v>1</v>
      </c>
      <c r="AI18" s="5">
        <v>3</v>
      </c>
      <c r="AJ18" s="14">
        <v>2.4400000000000002E-2</v>
      </c>
      <c r="AK18" s="5">
        <v>3</v>
      </c>
      <c r="AL18" s="14">
        <v>0.88</v>
      </c>
      <c r="AM18" s="5">
        <v>0</v>
      </c>
      <c r="AN18" s="14">
        <v>1</v>
      </c>
      <c r="AO18" s="5">
        <v>3</v>
      </c>
      <c r="AP18" s="13"/>
      <c r="AQ18" s="3"/>
    </row>
    <row r="19" spans="1:43" x14ac:dyDescent="0.25">
      <c r="A19" s="1" t="s">
        <v>0</v>
      </c>
      <c r="B19" s="2" t="s">
        <v>10</v>
      </c>
      <c r="C19" s="2">
        <v>25018264</v>
      </c>
      <c r="D19" s="2" t="s">
        <v>72</v>
      </c>
      <c r="E19" s="2">
        <v>30</v>
      </c>
      <c r="F19" s="12">
        <v>0.96360000000000001</v>
      </c>
      <c r="G19" s="12">
        <v>0.88180000000000003</v>
      </c>
      <c r="H19" s="2">
        <v>3</v>
      </c>
      <c r="I19" s="12">
        <v>0.9</v>
      </c>
      <c r="J19" s="12">
        <v>1</v>
      </c>
      <c r="K19">
        <v>1.5</v>
      </c>
      <c r="L19" s="12">
        <v>0.96360000000000001</v>
      </c>
      <c r="M19" s="12">
        <v>3</v>
      </c>
      <c r="N19" s="12">
        <v>0.96360000000000001</v>
      </c>
      <c r="O19" s="12">
        <v>3</v>
      </c>
      <c r="P19" s="12">
        <v>0.97270000000000001</v>
      </c>
      <c r="Q19" s="12">
        <v>3</v>
      </c>
      <c r="R19" s="12">
        <v>0.98180000000000001</v>
      </c>
      <c r="S19" s="12">
        <v>3</v>
      </c>
      <c r="T19" s="12">
        <v>0.93640000000000001</v>
      </c>
      <c r="U19" s="12">
        <v>1.5</v>
      </c>
      <c r="V19" s="12">
        <v>0.8</v>
      </c>
      <c r="W19" s="12">
        <v>0</v>
      </c>
      <c r="X19" s="12">
        <v>0.77270000000000005</v>
      </c>
      <c r="Y19" s="12">
        <v>0</v>
      </c>
      <c r="Z19" s="12">
        <v>1</v>
      </c>
      <c r="AA19" s="12">
        <v>3</v>
      </c>
      <c r="AB19" s="12">
        <v>7.2700000000000001E-2</v>
      </c>
      <c r="AC19">
        <v>0</v>
      </c>
      <c r="AD19" s="12"/>
      <c r="AE19" s="2">
        <v>0</v>
      </c>
      <c r="AF19" s="12"/>
      <c r="AG19" s="2">
        <v>3</v>
      </c>
      <c r="AH19" s="12"/>
      <c r="AI19" s="2">
        <v>0</v>
      </c>
      <c r="AJ19" s="12">
        <v>1.8200000000000001E-2</v>
      </c>
      <c r="AK19" s="2">
        <v>3</v>
      </c>
      <c r="AL19" s="12">
        <v>0.47</v>
      </c>
      <c r="AM19" s="2">
        <v>0</v>
      </c>
      <c r="AN19" s="12">
        <v>1</v>
      </c>
      <c r="AO19" s="2">
        <v>3</v>
      </c>
      <c r="AP19" s="15"/>
      <c r="AQ19" s="6"/>
    </row>
    <row r="20" spans="1:43" x14ac:dyDescent="0.25">
      <c r="A20" s="4" t="s">
        <v>0</v>
      </c>
      <c r="B20" s="5" t="s">
        <v>10</v>
      </c>
      <c r="C20" s="5">
        <v>25018191</v>
      </c>
      <c r="D20" s="5" t="s">
        <v>19</v>
      </c>
      <c r="E20" s="5">
        <v>30</v>
      </c>
      <c r="F20" s="14">
        <v>0.96430000000000005</v>
      </c>
      <c r="G20" s="14">
        <v>0.89290000000000003</v>
      </c>
      <c r="H20" s="5">
        <v>3</v>
      </c>
      <c r="I20" s="14">
        <v>0.78569999999999995</v>
      </c>
      <c r="J20" s="14">
        <v>0.98209999999999997</v>
      </c>
      <c r="K20">
        <v>0</v>
      </c>
      <c r="L20" s="14">
        <v>0.97319999999999995</v>
      </c>
      <c r="M20" s="14">
        <v>3</v>
      </c>
      <c r="N20" s="14">
        <v>0.9375</v>
      </c>
      <c r="O20" s="14">
        <v>1.5</v>
      </c>
      <c r="P20" s="14">
        <v>0.97319999999999995</v>
      </c>
      <c r="Q20" s="14">
        <v>3</v>
      </c>
      <c r="R20" s="14">
        <v>0.99109999999999998</v>
      </c>
      <c r="S20" s="14">
        <v>3</v>
      </c>
      <c r="T20" s="14">
        <v>0.85709999999999997</v>
      </c>
      <c r="U20" s="14">
        <v>0</v>
      </c>
      <c r="V20" s="14">
        <v>0.90629999999999999</v>
      </c>
      <c r="W20" s="14">
        <v>1.5</v>
      </c>
      <c r="X20" s="14">
        <v>1</v>
      </c>
      <c r="Y20" s="14">
        <v>3</v>
      </c>
      <c r="Z20" s="5"/>
      <c r="AA20" s="14">
        <v>0</v>
      </c>
      <c r="AB20" s="14">
        <v>8.0399999999999999E-2</v>
      </c>
      <c r="AC20">
        <v>0</v>
      </c>
      <c r="AD20" s="14"/>
      <c r="AE20" s="5">
        <v>0</v>
      </c>
      <c r="AF20" s="5"/>
      <c r="AG20" s="5">
        <v>3</v>
      </c>
      <c r="AH20" s="14">
        <v>1</v>
      </c>
      <c r="AI20" s="5">
        <v>3</v>
      </c>
      <c r="AJ20" s="14">
        <v>1.7899999999999999E-2</v>
      </c>
      <c r="AK20" s="5">
        <v>3</v>
      </c>
      <c r="AL20" s="14">
        <v>0.21</v>
      </c>
      <c r="AM20" s="5">
        <v>0</v>
      </c>
      <c r="AN20" s="14">
        <v>1</v>
      </c>
      <c r="AO20" s="5">
        <v>3</v>
      </c>
      <c r="AP20" s="13"/>
      <c r="AQ20" s="3"/>
    </row>
    <row r="21" spans="1:43" x14ac:dyDescent="0.25">
      <c r="A21" s="4" t="s">
        <v>0</v>
      </c>
      <c r="B21" s="5" t="s">
        <v>10</v>
      </c>
      <c r="C21" s="5">
        <v>25018272</v>
      </c>
      <c r="D21" s="5" t="s">
        <v>73</v>
      </c>
      <c r="E21" s="5">
        <v>30</v>
      </c>
      <c r="F21" s="14">
        <v>0.97299999999999998</v>
      </c>
      <c r="G21" s="14">
        <v>0.91890000000000005</v>
      </c>
      <c r="H21" s="5">
        <v>3</v>
      </c>
      <c r="I21" s="14">
        <v>0.50449999999999995</v>
      </c>
      <c r="J21" s="14">
        <v>0.83330000000000004</v>
      </c>
      <c r="K21">
        <v>0</v>
      </c>
      <c r="L21" s="14">
        <v>0.77029999999999998</v>
      </c>
      <c r="M21" s="14">
        <v>0</v>
      </c>
      <c r="N21" s="14">
        <v>0.75680000000000003</v>
      </c>
      <c r="O21" s="14">
        <v>0</v>
      </c>
      <c r="P21" s="14">
        <v>0.88739999999999997</v>
      </c>
      <c r="Q21" s="14">
        <v>0</v>
      </c>
      <c r="R21" s="14">
        <v>0.96399999999999997</v>
      </c>
      <c r="S21" s="14">
        <v>3</v>
      </c>
      <c r="T21" s="14">
        <v>0.81530000000000002</v>
      </c>
      <c r="U21" s="14">
        <v>0</v>
      </c>
      <c r="V21" s="14">
        <v>0.96879999999999999</v>
      </c>
      <c r="W21" s="14">
        <v>3</v>
      </c>
      <c r="X21" s="14">
        <v>0.98209999999999997</v>
      </c>
      <c r="Y21" s="14">
        <v>3</v>
      </c>
      <c r="Z21" s="14">
        <v>0.98939999999999995</v>
      </c>
      <c r="AA21" s="14">
        <v>3</v>
      </c>
      <c r="AB21" s="14">
        <v>0.27929999999999999</v>
      </c>
      <c r="AC21">
        <v>0</v>
      </c>
      <c r="AD21" s="14"/>
      <c r="AE21" s="5">
        <v>0</v>
      </c>
      <c r="AF21" s="14"/>
      <c r="AG21" s="5">
        <v>3</v>
      </c>
      <c r="AH21" s="14">
        <v>1</v>
      </c>
      <c r="AI21" s="5">
        <v>3</v>
      </c>
      <c r="AJ21" s="14">
        <v>1.7999999999999999E-2</v>
      </c>
      <c r="AK21" s="5">
        <v>3</v>
      </c>
      <c r="AL21" s="14">
        <v>1</v>
      </c>
      <c r="AM21" s="5">
        <v>3</v>
      </c>
      <c r="AN21" s="14">
        <v>1</v>
      </c>
      <c r="AO21" s="5">
        <v>3</v>
      </c>
      <c r="AP21" s="15"/>
      <c r="AQ21" s="6"/>
    </row>
    <row r="22" spans="1:43" x14ac:dyDescent="0.25">
      <c r="A22" s="1" t="s">
        <v>0</v>
      </c>
      <c r="B22" s="2" t="s">
        <v>1</v>
      </c>
      <c r="C22" s="2">
        <v>25018094</v>
      </c>
      <c r="D22" s="2" t="s">
        <v>63</v>
      </c>
      <c r="E22" s="2">
        <v>28.5</v>
      </c>
      <c r="F22" s="12">
        <v>0.95820000000000005</v>
      </c>
      <c r="G22" s="12">
        <v>0.90110000000000001</v>
      </c>
      <c r="H22" s="2">
        <v>3</v>
      </c>
      <c r="I22" s="12">
        <v>0.52470000000000006</v>
      </c>
      <c r="J22" s="12">
        <v>0.87829999999999997</v>
      </c>
      <c r="K22">
        <v>0</v>
      </c>
      <c r="L22" s="12">
        <v>0.90869999999999995</v>
      </c>
      <c r="M22" s="12">
        <v>1.5</v>
      </c>
      <c r="N22" s="12">
        <v>0.79849999999999999</v>
      </c>
      <c r="O22" s="12">
        <v>0</v>
      </c>
      <c r="P22" s="12">
        <v>0.92020000000000002</v>
      </c>
      <c r="Q22" s="12">
        <v>1.5</v>
      </c>
      <c r="R22" s="12">
        <v>0.92400000000000004</v>
      </c>
      <c r="S22" s="12">
        <v>1.5</v>
      </c>
      <c r="T22" s="12">
        <v>0.85550000000000004</v>
      </c>
      <c r="U22" s="12">
        <v>0</v>
      </c>
      <c r="V22" s="12">
        <v>0.97870000000000001</v>
      </c>
      <c r="W22" s="12">
        <v>3</v>
      </c>
      <c r="X22" s="12">
        <v>0.97829999999999995</v>
      </c>
      <c r="Y22" s="12">
        <v>3</v>
      </c>
      <c r="Z22" s="12">
        <v>1</v>
      </c>
      <c r="AA22" s="12">
        <v>3</v>
      </c>
      <c r="AB22" s="12">
        <v>0.19769999999999999</v>
      </c>
      <c r="AC22">
        <v>0</v>
      </c>
      <c r="AD22" s="12">
        <v>0.68059999999999998</v>
      </c>
      <c r="AE22" s="2">
        <v>0</v>
      </c>
      <c r="AF22" s="12"/>
      <c r="AG22" s="2">
        <v>3</v>
      </c>
      <c r="AH22" s="12">
        <v>0.93330000000000002</v>
      </c>
      <c r="AI22" s="2">
        <v>1.5</v>
      </c>
      <c r="AJ22" s="12">
        <v>2.6599999999999999E-2</v>
      </c>
      <c r="AK22" s="2">
        <v>3</v>
      </c>
      <c r="AL22" s="12">
        <v>0.9</v>
      </c>
      <c r="AM22" s="2">
        <v>1.5</v>
      </c>
      <c r="AN22" s="12">
        <v>1</v>
      </c>
      <c r="AO22" s="2">
        <v>3</v>
      </c>
      <c r="AP22" s="13"/>
      <c r="AQ22" s="3"/>
    </row>
    <row r="23" spans="1:43" x14ac:dyDescent="0.25">
      <c r="A23" s="4" t="s">
        <v>0</v>
      </c>
      <c r="B23" s="5" t="s">
        <v>10</v>
      </c>
      <c r="C23" s="5">
        <v>25018256</v>
      </c>
      <c r="D23" s="5" t="s">
        <v>14</v>
      </c>
      <c r="E23" s="5">
        <v>28.5</v>
      </c>
      <c r="F23" s="14">
        <v>0.95469999999999999</v>
      </c>
      <c r="G23" s="14">
        <v>0.76800000000000002</v>
      </c>
      <c r="H23" s="5">
        <v>3</v>
      </c>
      <c r="I23" s="14">
        <v>0.5333</v>
      </c>
      <c r="J23" s="14">
        <v>0.92</v>
      </c>
      <c r="K23">
        <v>0</v>
      </c>
      <c r="L23" s="14">
        <v>0.81869999999999998</v>
      </c>
      <c r="M23" s="14">
        <v>0</v>
      </c>
      <c r="N23" s="14">
        <v>0.72529999999999994</v>
      </c>
      <c r="O23" s="14">
        <v>0</v>
      </c>
      <c r="P23" s="14">
        <v>0.90669999999999995</v>
      </c>
      <c r="Q23" s="14">
        <v>1.5</v>
      </c>
      <c r="R23" s="14">
        <v>0.96799999999999997</v>
      </c>
      <c r="S23" s="14">
        <v>3</v>
      </c>
      <c r="T23" s="14">
        <v>0.94399999999999995</v>
      </c>
      <c r="U23" s="14">
        <v>3</v>
      </c>
      <c r="V23" s="14">
        <v>0.97440000000000004</v>
      </c>
      <c r="W23" s="14">
        <v>3</v>
      </c>
      <c r="X23" s="14">
        <v>0.98250000000000004</v>
      </c>
      <c r="Y23" s="14">
        <v>3</v>
      </c>
      <c r="Z23" s="14">
        <v>0.97809999999999997</v>
      </c>
      <c r="AA23" s="14">
        <v>3</v>
      </c>
      <c r="AB23" s="14">
        <v>0.28000000000000003</v>
      </c>
      <c r="AC23">
        <v>0</v>
      </c>
      <c r="AD23" s="14"/>
      <c r="AE23" s="5">
        <v>0</v>
      </c>
      <c r="AF23" s="5"/>
      <c r="AG23" s="5">
        <v>3</v>
      </c>
      <c r="AH23" s="5"/>
      <c r="AI23" s="5">
        <v>0</v>
      </c>
      <c r="AJ23" s="14">
        <v>2.1299999999999999E-2</v>
      </c>
      <c r="AK23" s="5">
        <v>3</v>
      </c>
      <c r="AL23" s="14">
        <v>0.86</v>
      </c>
      <c r="AM23" s="5">
        <v>0</v>
      </c>
      <c r="AN23" s="14">
        <v>1</v>
      </c>
      <c r="AO23" s="5">
        <v>3</v>
      </c>
      <c r="AP23" s="15"/>
      <c r="AQ23" s="6"/>
    </row>
    <row r="24" spans="1:43" x14ac:dyDescent="0.25">
      <c r="A24" s="1" t="s">
        <v>0</v>
      </c>
      <c r="B24" s="2" t="s">
        <v>5</v>
      </c>
      <c r="C24" s="2">
        <v>25014960</v>
      </c>
      <c r="D24" s="2" t="s">
        <v>6</v>
      </c>
      <c r="E24" s="2">
        <v>28.5</v>
      </c>
      <c r="F24" s="12">
        <v>0.98309999999999997</v>
      </c>
      <c r="G24" s="12">
        <v>0.9153</v>
      </c>
      <c r="H24" s="2">
        <v>3</v>
      </c>
      <c r="I24" s="12">
        <v>0.82199999999999995</v>
      </c>
      <c r="J24" s="12">
        <v>0.96609999999999996</v>
      </c>
      <c r="K24">
        <v>0</v>
      </c>
      <c r="L24" s="12">
        <v>0.95760000000000001</v>
      </c>
      <c r="M24" s="12">
        <v>3</v>
      </c>
      <c r="N24" s="12">
        <v>0.93220000000000003</v>
      </c>
      <c r="O24" s="12">
        <v>1.5</v>
      </c>
      <c r="P24" s="12">
        <v>0.99150000000000005</v>
      </c>
      <c r="Q24" s="12">
        <v>3</v>
      </c>
      <c r="R24" s="12">
        <v>0.98309999999999997</v>
      </c>
      <c r="S24" s="12">
        <v>3</v>
      </c>
      <c r="T24" s="12">
        <v>0.93220000000000003</v>
      </c>
      <c r="U24" s="12">
        <v>1.5</v>
      </c>
      <c r="V24" s="12">
        <v>0.89659999999999995</v>
      </c>
      <c r="W24" s="12">
        <v>1.5</v>
      </c>
      <c r="X24" s="12">
        <v>0.77780000000000005</v>
      </c>
      <c r="Y24" s="12">
        <v>0</v>
      </c>
      <c r="Z24" s="12">
        <v>0.91890000000000005</v>
      </c>
      <c r="AA24" s="12">
        <v>3</v>
      </c>
      <c r="AB24" s="12">
        <v>5.9299999999999999E-2</v>
      </c>
      <c r="AC24">
        <v>0</v>
      </c>
      <c r="AD24" s="12"/>
      <c r="AE24" s="2">
        <v>0</v>
      </c>
      <c r="AF24" s="12"/>
      <c r="AG24" s="2">
        <v>3</v>
      </c>
      <c r="AH24" s="2"/>
      <c r="AI24" s="2">
        <v>0</v>
      </c>
      <c r="AJ24" s="12"/>
      <c r="AK24" s="2">
        <v>3</v>
      </c>
      <c r="AL24" s="12">
        <v>0.64</v>
      </c>
      <c r="AM24" s="2">
        <v>0</v>
      </c>
      <c r="AN24" s="12">
        <v>1</v>
      </c>
      <c r="AO24" s="2">
        <v>3</v>
      </c>
      <c r="AP24" s="13"/>
      <c r="AQ24" s="3"/>
    </row>
    <row r="25" spans="1:43" x14ac:dyDescent="0.25">
      <c r="A25" s="1" t="s">
        <v>0</v>
      </c>
      <c r="B25" s="2" t="s">
        <v>10</v>
      </c>
      <c r="C25" s="2">
        <v>25018639</v>
      </c>
      <c r="D25" s="2" t="s">
        <v>76</v>
      </c>
      <c r="E25" s="2">
        <v>27</v>
      </c>
      <c r="F25" s="12">
        <v>0.9113</v>
      </c>
      <c r="G25" s="12">
        <v>0.75429999999999997</v>
      </c>
      <c r="H25" s="2">
        <v>3</v>
      </c>
      <c r="I25" s="12">
        <v>0.56659999999999999</v>
      </c>
      <c r="J25" s="12">
        <v>0.94199999999999995</v>
      </c>
      <c r="K25">
        <v>0</v>
      </c>
      <c r="L25" s="12">
        <v>0.91810000000000003</v>
      </c>
      <c r="M25" s="12">
        <v>1.5</v>
      </c>
      <c r="N25" s="12">
        <v>0.82589999999999997</v>
      </c>
      <c r="O25" s="12">
        <v>0</v>
      </c>
      <c r="P25" s="12">
        <v>0.90780000000000005</v>
      </c>
      <c r="Q25" s="12">
        <v>1.5</v>
      </c>
      <c r="R25" s="12">
        <v>1</v>
      </c>
      <c r="S25" s="12">
        <v>3</v>
      </c>
      <c r="T25" s="12">
        <v>0.98980000000000001</v>
      </c>
      <c r="U25" s="12">
        <v>3</v>
      </c>
      <c r="V25" s="12">
        <v>0.95589999999999997</v>
      </c>
      <c r="W25" s="12">
        <v>3</v>
      </c>
      <c r="X25" s="12">
        <v>0.96970000000000001</v>
      </c>
      <c r="Y25" s="12">
        <v>3</v>
      </c>
      <c r="Z25" s="12">
        <v>0.93100000000000005</v>
      </c>
      <c r="AA25" s="12">
        <v>3</v>
      </c>
      <c r="AB25" s="12">
        <v>0.16719999999999999</v>
      </c>
      <c r="AC25">
        <v>0</v>
      </c>
      <c r="AD25" s="12"/>
      <c r="AE25" s="2">
        <v>0</v>
      </c>
      <c r="AF25" s="2"/>
      <c r="AG25" s="2">
        <v>3</v>
      </c>
      <c r="AH25" s="12">
        <v>0.74470000000000003</v>
      </c>
      <c r="AI25" s="2">
        <v>0</v>
      </c>
      <c r="AJ25" s="12">
        <v>0.18090000000000001</v>
      </c>
      <c r="AK25" s="2">
        <v>0</v>
      </c>
      <c r="AL25" s="12">
        <v>0.36</v>
      </c>
      <c r="AM25" s="2">
        <v>0</v>
      </c>
      <c r="AN25" s="12">
        <v>1</v>
      </c>
      <c r="AO25" s="2">
        <v>3</v>
      </c>
      <c r="AP25" s="15"/>
      <c r="AQ25" s="6"/>
    </row>
    <row r="26" spans="1:43" x14ac:dyDescent="0.25">
      <c r="A26" s="1" t="s">
        <v>0</v>
      </c>
      <c r="B26" s="2" t="s">
        <v>10</v>
      </c>
      <c r="C26" s="2">
        <v>25018183</v>
      </c>
      <c r="D26" s="2" t="s">
        <v>18</v>
      </c>
      <c r="E26" s="2">
        <v>25.5</v>
      </c>
      <c r="F26" s="12">
        <v>0.99239999999999995</v>
      </c>
      <c r="G26" s="12">
        <v>0.92369999999999997</v>
      </c>
      <c r="H26" s="2">
        <v>3</v>
      </c>
      <c r="I26" s="12">
        <v>0.64890000000000003</v>
      </c>
      <c r="J26" s="12">
        <v>0.9466</v>
      </c>
      <c r="K26">
        <v>0</v>
      </c>
      <c r="L26" s="12">
        <v>0.8931</v>
      </c>
      <c r="M26" s="12">
        <v>0</v>
      </c>
      <c r="N26" s="12">
        <v>0.81679999999999997</v>
      </c>
      <c r="O26" s="12">
        <v>0</v>
      </c>
      <c r="P26" s="12">
        <v>0.93130000000000002</v>
      </c>
      <c r="Q26" s="12">
        <v>1.5</v>
      </c>
      <c r="R26" s="12">
        <v>1</v>
      </c>
      <c r="S26" s="12">
        <v>3</v>
      </c>
      <c r="T26" s="12">
        <v>0.85499999999999998</v>
      </c>
      <c r="U26" s="12">
        <v>0</v>
      </c>
      <c r="V26" s="12">
        <v>0.84619999999999995</v>
      </c>
      <c r="W26" s="12">
        <v>0</v>
      </c>
      <c r="X26" s="12">
        <v>1</v>
      </c>
      <c r="Y26" s="12">
        <v>3</v>
      </c>
      <c r="Z26" s="12">
        <v>0.98329999999999995</v>
      </c>
      <c r="AA26" s="12">
        <v>3</v>
      </c>
      <c r="AB26" s="12">
        <v>0.14499999999999999</v>
      </c>
      <c r="AC26">
        <v>0</v>
      </c>
      <c r="AD26" s="12"/>
      <c r="AE26" s="2">
        <v>0</v>
      </c>
      <c r="AF26" s="2"/>
      <c r="AG26" s="2">
        <v>3</v>
      </c>
      <c r="AH26" s="12">
        <v>0.94440000000000002</v>
      </c>
      <c r="AI26" s="2">
        <v>3</v>
      </c>
      <c r="AJ26" s="12"/>
      <c r="AK26" s="2">
        <v>3</v>
      </c>
      <c r="AL26" s="12">
        <v>0.59</v>
      </c>
      <c r="AM26" s="2">
        <v>0</v>
      </c>
      <c r="AN26" s="12">
        <v>1</v>
      </c>
      <c r="AO26" s="2">
        <v>3</v>
      </c>
      <c r="AP26" s="13"/>
      <c r="AQ26" s="3"/>
    </row>
    <row r="27" spans="1:43" x14ac:dyDescent="0.25">
      <c r="A27" s="1" t="s">
        <v>0</v>
      </c>
      <c r="B27" s="2" t="s">
        <v>10</v>
      </c>
      <c r="C27" s="2">
        <v>25018078</v>
      </c>
      <c r="D27" s="2" t="s">
        <v>70</v>
      </c>
      <c r="E27" s="2">
        <v>24</v>
      </c>
      <c r="F27" s="12">
        <v>0.9667</v>
      </c>
      <c r="G27" s="12">
        <v>0.84440000000000004</v>
      </c>
      <c r="H27" s="2">
        <v>3</v>
      </c>
      <c r="I27" s="12">
        <v>0.5111</v>
      </c>
      <c r="J27" s="12">
        <v>0.91110000000000002</v>
      </c>
      <c r="K27">
        <v>0</v>
      </c>
      <c r="L27" s="12">
        <v>0.82779999999999998</v>
      </c>
      <c r="M27" s="12">
        <v>0</v>
      </c>
      <c r="N27" s="12">
        <v>0.66110000000000002</v>
      </c>
      <c r="O27" s="12">
        <v>0</v>
      </c>
      <c r="P27" s="12">
        <v>0.91669999999999996</v>
      </c>
      <c r="Q27" s="12">
        <v>1.5</v>
      </c>
      <c r="R27" s="12">
        <v>0.97219999999999995</v>
      </c>
      <c r="S27" s="12">
        <v>3</v>
      </c>
      <c r="T27" s="12">
        <v>0.81669999999999998</v>
      </c>
      <c r="U27" s="12">
        <v>0</v>
      </c>
      <c r="V27" s="12">
        <v>0.88</v>
      </c>
      <c r="W27" s="12">
        <v>1.5</v>
      </c>
      <c r="X27" s="12">
        <v>0.96550000000000002</v>
      </c>
      <c r="Y27" s="12">
        <v>3</v>
      </c>
      <c r="Z27" s="12">
        <v>1.0769</v>
      </c>
      <c r="AA27" s="12">
        <v>3</v>
      </c>
      <c r="AB27" s="12">
        <v>0.2833</v>
      </c>
      <c r="AC27">
        <v>0</v>
      </c>
      <c r="AD27" s="12"/>
      <c r="AE27" s="2">
        <v>0</v>
      </c>
      <c r="AF27" s="12"/>
      <c r="AG27" s="2">
        <v>3</v>
      </c>
      <c r="AH27" s="12">
        <v>0.69230000000000003</v>
      </c>
      <c r="AI27" s="2">
        <v>0</v>
      </c>
      <c r="AJ27" s="12"/>
      <c r="AK27" s="2">
        <v>3</v>
      </c>
      <c r="AL27" s="12">
        <v>0.56000000000000005</v>
      </c>
      <c r="AM27" s="2">
        <v>0</v>
      </c>
      <c r="AN27" s="12">
        <v>1</v>
      </c>
      <c r="AO27" s="2">
        <v>3</v>
      </c>
      <c r="AP27" s="15"/>
      <c r="AQ27" s="6"/>
    </row>
    <row r="28" spans="1:43" x14ac:dyDescent="0.25">
      <c r="A28" s="4" t="s">
        <v>0</v>
      </c>
      <c r="B28" s="5" t="s">
        <v>10</v>
      </c>
      <c r="C28" s="5">
        <v>25018124</v>
      </c>
      <c r="D28" s="5" t="s">
        <v>12</v>
      </c>
      <c r="E28" s="5">
        <v>22.5</v>
      </c>
      <c r="F28" s="14">
        <v>0.9637</v>
      </c>
      <c r="G28" s="14">
        <v>0.84970000000000001</v>
      </c>
      <c r="H28" s="5">
        <v>3</v>
      </c>
      <c r="I28" s="14">
        <v>0.5544</v>
      </c>
      <c r="J28" s="14">
        <v>0.87560000000000004</v>
      </c>
      <c r="K28">
        <v>0</v>
      </c>
      <c r="L28" s="14">
        <v>0.84460000000000002</v>
      </c>
      <c r="M28" s="14">
        <v>0</v>
      </c>
      <c r="N28" s="14">
        <v>0.79790000000000005</v>
      </c>
      <c r="O28" s="14">
        <v>0</v>
      </c>
      <c r="P28" s="14">
        <v>0.76680000000000004</v>
      </c>
      <c r="Q28" s="14">
        <v>0</v>
      </c>
      <c r="R28" s="14">
        <v>0.94040000000000001</v>
      </c>
      <c r="S28" s="14">
        <v>3</v>
      </c>
      <c r="T28" s="14">
        <v>0.82120000000000004</v>
      </c>
      <c r="U28" s="14">
        <v>0</v>
      </c>
      <c r="V28" s="14">
        <v>0.96</v>
      </c>
      <c r="W28" s="14">
        <v>3</v>
      </c>
      <c r="X28" s="14">
        <v>0.97560000000000002</v>
      </c>
      <c r="Y28" s="14">
        <v>3</v>
      </c>
      <c r="Z28" s="14">
        <v>0.89539999999999997</v>
      </c>
      <c r="AA28" s="14">
        <v>1.5</v>
      </c>
      <c r="AB28" s="14">
        <v>0.26419999999999999</v>
      </c>
      <c r="AC28">
        <v>0</v>
      </c>
      <c r="AD28" s="14"/>
      <c r="AE28" s="5">
        <v>0</v>
      </c>
      <c r="AF28" s="5"/>
      <c r="AG28" s="5">
        <v>3</v>
      </c>
      <c r="AH28" s="5"/>
      <c r="AI28" s="5">
        <v>0</v>
      </c>
      <c r="AJ28" s="14">
        <v>7.7999999999999996E-3</v>
      </c>
      <c r="AK28" s="5">
        <v>3</v>
      </c>
      <c r="AL28" s="14">
        <v>0.52</v>
      </c>
      <c r="AM28" s="5">
        <v>0</v>
      </c>
      <c r="AN28" s="14">
        <v>1</v>
      </c>
      <c r="AO28" s="5">
        <v>3</v>
      </c>
      <c r="AP28" s="13"/>
      <c r="AQ28" s="3"/>
    </row>
    <row r="29" spans="1:43" x14ac:dyDescent="0.25">
      <c r="A29" s="4" t="s">
        <v>0</v>
      </c>
      <c r="B29" s="5" t="s">
        <v>10</v>
      </c>
      <c r="C29" s="5">
        <v>25018140</v>
      </c>
      <c r="D29" s="5" t="s">
        <v>17</v>
      </c>
      <c r="E29" s="5">
        <v>16.5</v>
      </c>
      <c r="F29" s="14">
        <v>0.85329999999999995</v>
      </c>
      <c r="G29" s="14">
        <v>0.61780000000000002</v>
      </c>
      <c r="H29" s="5">
        <v>1.5</v>
      </c>
      <c r="I29" s="14">
        <v>0.50190000000000001</v>
      </c>
      <c r="J29" s="14">
        <v>0.91510000000000002</v>
      </c>
      <c r="K29">
        <v>0</v>
      </c>
      <c r="L29" s="14">
        <v>0.87260000000000004</v>
      </c>
      <c r="M29" s="14">
        <v>0</v>
      </c>
      <c r="N29" s="14">
        <v>0.69499999999999995</v>
      </c>
      <c r="O29" s="14">
        <v>0</v>
      </c>
      <c r="P29" s="14">
        <v>0.81850000000000001</v>
      </c>
      <c r="Q29" s="14">
        <v>0</v>
      </c>
      <c r="R29" s="14">
        <v>0.93049999999999999</v>
      </c>
      <c r="S29" s="14">
        <v>1.5</v>
      </c>
      <c r="T29" s="14">
        <v>0.89580000000000004</v>
      </c>
      <c r="U29" s="14">
        <v>0</v>
      </c>
      <c r="V29" s="14">
        <v>0.75639999999999996</v>
      </c>
      <c r="W29" s="14">
        <v>0</v>
      </c>
      <c r="X29" s="14">
        <v>1</v>
      </c>
      <c r="Y29" s="14">
        <v>3</v>
      </c>
      <c r="Z29" s="14">
        <v>0.8659</v>
      </c>
      <c r="AA29" s="14">
        <v>1.5</v>
      </c>
      <c r="AB29" s="14">
        <v>0.26250000000000001</v>
      </c>
      <c r="AC29">
        <v>0</v>
      </c>
      <c r="AD29" s="14"/>
      <c r="AE29" s="5">
        <v>0</v>
      </c>
      <c r="AF29" s="5"/>
      <c r="AG29" s="5">
        <v>3</v>
      </c>
      <c r="AH29" s="14">
        <v>0.83330000000000004</v>
      </c>
      <c r="AI29" s="5">
        <v>0</v>
      </c>
      <c r="AJ29" s="14">
        <v>1.54E-2</v>
      </c>
      <c r="AK29" s="5">
        <v>3</v>
      </c>
      <c r="AL29" s="14">
        <v>0.76</v>
      </c>
      <c r="AM29" s="5">
        <v>0</v>
      </c>
      <c r="AN29" s="14">
        <v>1</v>
      </c>
      <c r="AO29" s="5">
        <v>3</v>
      </c>
      <c r="AP29" s="15"/>
      <c r="AQ29" s="6"/>
    </row>
    <row r="31" spans="1:43" x14ac:dyDescent="0.25">
      <c r="F31" s="10" t="s">
        <v>62</v>
      </c>
    </row>
    <row r="32" spans="1:43" x14ac:dyDescent="0.25">
      <c r="F32" s="11">
        <f>AVERAGE(E2:E29)</f>
        <v>33.160714285714285</v>
      </c>
    </row>
  </sheetData>
  <sortState ref="A2:AO29">
    <sortCondition descending="1" ref="E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Abrantes</dc:creator>
  <cp:lastModifiedBy>Rafael Abrantes</cp:lastModifiedBy>
  <dcterms:created xsi:type="dcterms:W3CDTF">2015-06-05T18:19:34Z</dcterms:created>
  <dcterms:modified xsi:type="dcterms:W3CDTF">2025-12-03T17:28:46Z</dcterms:modified>
</cp:coreProperties>
</file>