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afael Abrantes\Desktop\"/>
    </mc:Choice>
  </mc:AlternateContent>
  <xr:revisionPtr revIDLastSave="0" documentId="8_{03A2E8E2-4819-48C8-AB71-76787D59D58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2" i="1" l="1"/>
</calcChain>
</file>

<file path=xl/sharedStrings.xml><?xml version="1.0" encoding="utf-8"?>
<sst xmlns="http://schemas.openxmlformats.org/spreadsheetml/2006/main" count="126" uniqueCount="79">
  <si>
    <t>10ª GRE</t>
  </si>
  <si>
    <t>Aparecida</t>
  </si>
  <si>
    <t>Lastro</t>
  </si>
  <si>
    <t>Marizópolis</t>
  </si>
  <si>
    <t>ECIT ESTADUAL DOUTOR SILVA MARIZ</t>
  </si>
  <si>
    <t>Nazarezinho</t>
  </si>
  <si>
    <t>EEEF MANOEL MENDES</t>
  </si>
  <si>
    <t>Santa Cruz</t>
  </si>
  <si>
    <t>São Francisco</t>
  </si>
  <si>
    <t>São José da Lagoa Tapada</t>
  </si>
  <si>
    <t>Sousa</t>
  </si>
  <si>
    <t>ECIT ESTADUAL CHIQUINHO CARTAXO</t>
  </si>
  <si>
    <t>EEEF BATISTA LEITE</t>
  </si>
  <si>
    <t>EEEF BENTO FREIRE</t>
  </si>
  <si>
    <t>EEEF DE DEMONSTRACAO DE SOUSA</t>
  </si>
  <si>
    <t>EEEF RENE ALVES RAMALHO</t>
  </si>
  <si>
    <t>EEEFM ANTONIO TEODORO NETO</t>
  </si>
  <si>
    <t>EEEFM CELSO MARIZ</t>
  </si>
  <si>
    <t>EEEFM ESTEVAM MARINHO</t>
  </si>
  <si>
    <t>EEEFM FRANCISCO CICERO SOBRINHO</t>
  </si>
  <si>
    <t>EEEFM IZIDRA PACIFICO DE ARAUJO</t>
  </si>
  <si>
    <t>Vieirópolis</t>
  </si>
  <si>
    <t>EEEF ANTONIA MARIA ANUNCIACAO DONA DONINHA</t>
  </si>
  <si>
    <t>GRE</t>
  </si>
  <si>
    <t>Municipio</t>
  </si>
  <si>
    <t>inep</t>
  </si>
  <si>
    <t>Escola</t>
  </si>
  <si>
    <t>% Estudantes com frequência &gt; 80%</t>
  </si>
  <si>
    <t>% Estudantes com frequência &gt; 90%</t>
  </si>
  <si>
    <t>I1</t>
  </si>
  <si>
    <t>Expectativa Taxa Aprovação</t>
  </si>
  <si>
    <t>% Estudantes &gt; Média em Português</t>
  </si>
  <si>
    <t>I3</t>
  </si>
  <si>
    <t>% Estudantes &gt; Média em Matemática</t>
  </si>
  <si>
    <t>I4</t>
  </si>
  <si>
    <t>% Estudantes &gt; Média em Humanas</t>
  </si>
  <si>
    <t>I5</t>
  </si>
  <si>
    <t>% Estudantes &gt; Média em Linguagem</t>
  </si>
  <si>
    <t>I6</t>
  </si>
  <si>
    <t>% Estudantes &gt; Média em Natureza</t>
  </si>
  <si>
    <t>I7</t>
  </si>
  <si>
    <t>% Participação SIAVE Somativa 2024</t>
  </si>
  <si>
    <t>I8</t>
  </si>
  <si>
    <t>% Participação SIAVE Diagnóstica 2025</t>
  </si>
  <si>
    <t>I9</t>
  </si>
  <si>
    <t>% Participação SAEB 2023</t>
  </si>
  <si>
    <t>I10</t>
  </si>
  <si>
    <t>% Estudantes Média &lt; 5</t>
  </si>
  <si>
    <t>% Estudantes &gt; Média demais componentes</t>
  </si>
  <si>
    <t>I12</t>
  </si>
  <si>
    <t>% Estudantes sem frequência</t>
  </si>
  <si>
    <t>I13</t>
  </si>
  <si>
    <t>% Inscritos Enem</t>
  </si>
  <si>
    <t>I14</t>
  </si>
  <si>
    <t>% Estudantes FICAI</t>
  </si>
  <si>
    <t>I15</t>
  </si>
  <si>
    <t>% Participação Professores em Formações</t>
  </si>
  <si>
    <t>I16</t>
  </si>
  <si>
    <t>% Participação Gestores em Formações</t>
  </si>
  <si>
    <t>I17</t>
  </si>
  <si>
    <t>IEG</t>
  </si>
  <si>
    <t>IEG Médio</t>
  </si>
  <si>
    <t>ECIT DOUTOR JOSE GADELHA</t>
  </si>
  <si>
    <t>ECI NESTORINA ABRANTES</t>
  </si>
  <si>
    <t>ECI FRANCISCO AUGUSTO CAMPOS</t>
  </si>
  <si>
    <t>EEEF PROFESSOR NESTOR ANTUNES</t>
  </si>
  <si>
    <t>ECIT VALDEMIRO WANDERLEY DE OLIVEIRA</t>
  </si>
  <si>
    <t>ECI DORGIVAL SILVEIRA</t>
  </si>
  <si>
    <t>ECI ANTONIO GREGORIO DE LACERDA</t>
  </si>
  <si>
    <t>EEEFM ANDRE GADELHA</t>
  </si>
  <si>
    <t>EEEFM CONEGO JOAO CARTAXO ROLIM</t>
  </si>
  <si>
    <t>EEEF JAIME MEIRA FONTES</t>
  </si>
  <si>
    <t>EEEFM PROFESSORA DIONE DINIZ OLIVEIRA DIAS</t>
  </si>
  <si>
    <t>ECIT MESTRE JULIO SARMENTO</t>
  </si>
  <si>
    <t>EEEM JOSE DE PAIVA GADELHA</t>
  </si>
  <si>
    <t>EEEFM DOUTOR THOMAZ PIRES</t>
  </si>
  <si>
    <t>ECI MARIA MOREIRA PINTO</t>
  </si>
  <si>
    <t>I2</t>
  </si>
  <si>
    <t>I11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</si>
</sst>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2"/>
  <sheetViews>
    <sheetView tabSelected="1" workbookViewId="0">
      <selection activeCell="G35" sqref="G35"/>
    </sheetView>
  </sheetViews>
  <sheetFormatPr defaultRowHeight="15" x14ac:dyDescent="0.25"/>
  <cols>
    <col min="1" max="1" width="7.7109375" bestFit="1" customWidth="1"/>
    <col min="2" max="2" width="23.5703125" bestFit="1" customWidth="1"/>
    <col min="3" max="3" width="9" bestFit="1" customWidth="1"/>
    <col min="4" max="4" width="49.28515625" bestFit="1" customWidth="1"/>
    <col min="5" max="5" width="5.5703125" bestFit="1" customWidth="1"/>
    <col min="6" max="7" width="33" bestFit="1" customWidth="1"/>
    <col min="8" max="8" width="8.140625" bestFit="1" customWidth="1"/>
    <col min="9" max="9" width="25.85546875" bestFit="1" customWidth="1"/>
    <col min="10" max="10" width="27.28515625" bestFit="1" customWidth="1"/>
    <col min="11" max="11" width="7.42578125" customWidth="1"/>
    <col min="12" max="12" width="33.85546875" bestFit="1" customWidth="1"/>
    <col min="13" max="13" width="8.140625" bestFit="1" customWidth="1"/>
    <col min="14" max="14" width="35.42578125" bestFit="1" customWidth="1"/>
    <col min="15" max="15" width="8.140625" bestFit="1" customWidth="1"/>
    <col min="16" max="16" width="32.85546875" bestFit="1" customWidth="1"/>
    <col min="17" max="17" width="8.140625" bestFit="1" customWidth="1"/>
    <col min="18" max="18" width="34.42578125" bestFit="1" customWidth="1"/>
    <col min="19" max="19" width="8.140625" bestFit="1" customWidth="1"/>
    <col min="20" max="20" width="32.7109375" bestFit="1" customWidth="1"/>
    <col min="21" max="21" width="8.140625" bestFit="1" customWidth="1"/>
    <col min="22" max="22" width="33" bestFit="1" customWidth="1"/>
    <col min="23" max="23" width="8.140625" bestFit="1" customWidth="1"/>
    <col min="24" max="24" width="35.140625" bestFit="1" customWidth="1"/>
    <col min="25" max="25" width="8.140625" bestFit="1" customWidth="1"/>
    <col min="26" max="26" width="23.42578125" bestFit="1" customWidth="1"/>
    <col min="27" max="27" width="8.140625" bestFit="1" customWidth="1"/>
    <col min="28" max="28" width="22.140625" bestFit="1" customWidth="1"/>
    <col min="29" max="29" width="8.140625" customWidth="1"/>
    <col min="30" max="30" width="40.7109375" bestFit="1" customWidth="1"/>
    <col min="31" max="31" width="8.140625" bestFit="1" customWidth="1"/>
    <col min="32" max="32" width="27.42578125" bestFit="1" customWidth="1"/>
    <col min="33" max="33" width="8.140625" bestFit="1" customWidth="1"/>
    <col min="34" max="34" width="16" bestFit="1" customWidth="1"/>
    <col min="35" max="35" width="8.140625" bestFit="1" customWidth="1"/>
    <col min="36" max="36" width="18" bestFit="1" customWidth="1"/>
    <col min="37" max="37" width="8.140625" bestFit="1" customWidth="1"/>
    <col min="38" max="38" width="38.85546875" bestFit="1" customWidth="1"/>
    <col min="39" max="39" width="8.140625" bestFit="1" customWidth="1"/>
    <col min="40" max="40" width="36.28515625" bestFit="1" customWidth="1"/>
    <col min="41" max="41" width="8.140625" bestFit="1" customWidth="1"/>
    <col min="42" max="42" width="4" bestFit="1" customWidth="1"/>
    <col min="43" max="43" width="36.28515625" bestFit="1" customWidth="1"/>
    <col min="44" max="44" width="3.5703125" bestFit="1" customWidth="1"/>
  </cols>
  <sheetData>
    <row r="1" spans="1:41" x14ac:dyDescent="0.25">
      <c r="A1" t="s">
        <v>23</v>
      </c>
      <c r="B1" t="s">
        <v>24</v>
      </c>
      <c r="C1" t="s">
        <v>25</v>
      </c>
      <c r="D1" t="s">
        <v>26</v>
      </c>
      <c r="E1" t="s">
        <v>60</v>
      </c>
      <c r="F1" t="s">
        <v>27</v>
      </c>
      <c r="G1" t="s">
        <v>28</v>
      </c>
      <c r="H1" t="s">
        <v>29</v>
      </c>
      <c r="I1" t="s">
        <v>30</v>
      </c>
      <c r="J1" t="s">
        <v>30</v>
      </c>
      <c r="K1" t="s">
        <v>77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78</v>
      </c>
      <c r="AD1" t="s">
        <v>48</v>
      </c>
      <c r="AE1" t="s">
        <v>49</v>
      </c>
      <c r="AF1" t="s">
        <v>50</v>
      </c>
      <c r="AG1" t="s">
        <v>51</v>
      </c>
      <c r="AH1" t="s">
        <v>52</v>
      </c>
      <c r="AI1" t="s">
        <v>53</v>
      </c>
      <c r="AJ1" t="s">
        <v>54</v>
      </c>
      <c r="AK1" t="s">
        <v>55</v>
      </c>
      <c r="AL1" t="s">
        <v>56</v>
      </c>
      <c r="AM1" t="s">
        <v>57</v>
      </c>
      <c r="AN1" t="s">
        <v>58</v>
      </c>
      <c r="AO1" t="s">
        <v>59</v>
      </c>
    </row>
    <row r="2" spans="1:41" x14ac:dyDescent="0.25">
      <c r="A2" t="s">
        <v>0</v>
      </c>
      <c r="B2" t="s">
        <v>9</v>
      </c>
      <c r="C2">
        <v>25017438</v>
      </c>
      <c r="D2" t="s">
        <v>68</v>
      </c>
      <c r="E2">
        <v>34.5</v>
      </c>
      <c r="F2" s="3">
        <v>0.95730000000000004</v>
      </c>
      <c r="G2" s="3">
        <v>0.86319999999999997</v>
      </c>
      <c r="H2">
        <v>3</v>
      </c>
      <c r="I2" s="3">
        <v>0.93159999999999998</v>
      </c>
      <c r="J2" s="3">
        <v>0.93159999999999998</v>
      </c>
      <c r="K2">
        <v>1.5</v>
      </c>
      <c r="L2" s="3">
        <v>0.88460000000000005</v>
      </c>
      <c r="M2">
        <v>0</v>
      </c>
      <c r="N2" s="3">
        <v>0.77780000000000005</v>
      </c>
      <c r="O2">
        <v>0</v>
      </c>
      <c r="P2" s="3">
        <v>0.94020000000000004</v>
      </c>
      <c r="Q2">
        <v>3</v>
      </c>
      <c r="R2" s="3">
        <v>0.96579999999999999</v>
      </c>
      <c r="S2">
        <v>3</v>
      </c>
      <c r="T2" s="3">
        <v>0.85899999999999999</v>
      </c>
      <c r="U2">
        <v>0</v>
      </c>
      <c r="V2" s="3">
        <v>1</v>
      </c>
      <c r="W2">
        <v>3</v>
      </c>
      <c r="X2" s="3">
        <v>0.93879999999999997</v>
      </c>
      <c r="Y2">
        <v>3</v>
      </c>
      <c r="Z2" s="3">
        <v>0.97619999999999996</v>
      </c>
      <c r="AA2">
        <v>3</v>
      </c>
      <c r="AB2" s="3">
        <v>0.17949999999999999</v>
      </c>
      <c r="AC2">
        <v>0</v>
      </c>
      <c r="AE2">
        <v>0</v>
      </c>
      <c r="AG2">
        <v>3</v>
      </c>
      <c r="AH2" s="3">
        <v>0.94</v>
      </c>
      <c r="AI2">
        <v>3</v>
      </c>
      <c r="AK2">
        <v>3</v>
      </c>
      <c r="AL2" s="3">
        <v>1</v>
      </c>
      <c r="AM2">
        <v>3</v>
      </c>
      <c r="AN2" s="4">
        <v>1</v>
      </c>
      <c r="AO2">
        <v>3</v>
      </c>
    </row>
    <row r="3" spans="1:41" x14ac:dyDescent="0.25">
      <c r="A3" t="s">
        <v>0</v>
      </c>
      <c r="B3" t="s">
        <v>8</v>
      </c>
      <c r="C3">
        <v>25019597</v>
      </c>
      <c r="D3" t="s">
        <v>67</v>
      </c>
      <c r="E3">
        <v>39</v>
      </c>
      <c r="F3" s="3">
        <v>0.98140000000000005</v>
      </c>
      <c r="G3" s="3">
        <v>0.90680000000000005</v>
      </c>
      <c r="H3">
        <v>3</v>
      </c>
      <c r="I3" s="3">
        <v>0.96889999999999998</v>
      </c>
      <c r="J3" s="3">
        <v>0.96889999999999998</v>
      </c>
      <c r="K3">
        <v>3</v>
      </c>
      <c r="L3" s="3">
        <v>0.91300000000000003</v>
      </c>
      <c r="M3">
        <v>1.5</v>
      </c>
      <c r="N3" s="3">
        <v>0.80120000000000002</v>
      </c>
      <c r="O3">
        <v>0</v>
      </c>
      <c r="P3" s="3">
        <v>0.99380000000000002</v>
      </c>
      <c r="Q3">
        <v>3</v>
      </c>
      <c r="R3" s="3">
        <v>0.98140000000000005</v>
      </c>
      <c r="S3">
        <v>3</v>
      </c>
      <c r="T3" s="3">
        <v>0.93169999999999997</v>
      </c>
      <c r="U3">
        <v>1.5</v>
      </c>
      <c r="V3" s="3">
        <v>1</v>
      </c>
      <c r="W3">
        <v>3</v>
      </c>
      <c r="X3" s="3">
        <v>1</v>
      </c>
      <c r="Y3">
        <v>3</v>
      </c>
      <c r="Z3" s="3">
        <v>1</v>
      </c>
      <c r="AA3">
        <v>3</v>
      </c>
      <c r="AB3" s="3">
        <v>0.1118</v>
      </c>
      <c r="AC3">
        <v>0</v>
      </c>
      <c r="AE3">
        <v>0</v>
      </c>
      <c r="AG3">
        <v>3</v>
      </c>
      <c r="AH3" s="3">
        <v>1</v>
      </c>
      <c r="AI3">
        <v>3</v>
      </c>
      <c r="AJ3" s="3">
        <v>6.1999999999999998E-3</v>
      </c>
      <c r="AK3">
        <v>3</v>
      </c>
      <c r="AL3" s="3">
        <v>1</v>
      </c>
      <c r="AM3">
        <v>3</v>
      </c>
      <c r="AN3" s="4">
        <v>1</v>
      </c>
      <c r="AO3">
        <v>3</v>
      </c>
    </row>
    <row r="4" spans="1:41" x14ac:dyDescent="0.25">
      <c r="A4" t="s">
        <v>0</v>
      </c>
      <c r="B4" t="s">
        <v>5</v>
      </c>
      <c r="C4">
        <v>25014951</v>
      </c>
      <c r="D4" t="s">
        <v>64</v>
      </c>
      <c r="E4">
        <v>40.5</v>
      </c>
      <c r="F4" s="3">
        <v>1</v>
      </c>
      <c r="G4" s="3">
        <v>0.99539999999999995</v>
      </c>
      <c r="H4">
        <v>3</v>
      </c>
      <c r="I4" s="3">
        <v>0.94979999999999998</v>
      </c>
      <c r="J4" s="3">
        <v>0.94979999999999998</v>
      </c>
      <c r="K4">
        <v>3</v>
      </c>
      <c r="L4" s="3">
        <v>0.93610000000000004</v>
      </c>
      <c r="M4">
        <v>1.5</v>
      </c>
      <c r="N4" s="3">
        <v>0.91320000000000001</v>
      </c>
      <c r="O4">
        <v>1.5</v>
      </c>
      <c r="P4" s="3">
        <v>0.96350000000000002</v>
      </c>
      <c r="Q4">
        <v>3</v>
      </c>
      <c r="R4" s="3">
        <v>0.95889999999999997</v>
      </c>
      <c r="S4">
        <v>3</v>
      </c>
      <c r="T4" s="3">
        <v>0.9224</v>
      </c>
      <c r="U4">
        <v>1.5</v>
      </c>
      <c r="V4" s="3">
        <v>0.9385</v>
      </c>
      <c r="W4">
        <v>3</v>
      </c>
      <c r="X4" s="3">
        <v>0.96830000000000005</v>
      </c>
      <c r="Y4">
        <v>3</v>
      </c>
      <c r="Z4" s="3">
        <v>1</v>
      </c>
      <c r="AA4">
        <v>3</v>
      </c>
      <c r="AB4" s="3">
        <v>8.6800000000000002E-2</v>
      </c>
      <c r="AC4">
        <v>0</v>
      </c>
      <c r="AE4">
        <v>0</v>
      </c>
      <c r="AG4">
        <v>3</v>
      </c>
      <c r="AH4" s="3">
        <v>0.98360000000000003</v>
      </c>
      <c r="AI4">
        <v>3</v>
      </c>
      <c r="AK4">
        <v>3</v>
      </c>
      <c r="AL4" s="3">
        <v>1.07</v>
      </c>
      <c r="AM4">
        <v>3</v>
      </c>
      <c r="AN4" s="4">
        <v>1</v>
      </c>
      <c r="AO4">
        <v>3</v>
      </c>
    </row>
    <row r="5" spans="1:41" x14ac:dyDescent="0.25">
      <c r="A5" t="s">
        <v>0</v>
      </c>
      <c r="B5" t="s">
        <v>21</v>
      </c>
      <c r="C5">
        <v>25019740</v>
      </c>
      <c r="D5" t="s">
        <v>76</v>
      </c>
      <c r="E5">
        <v>48</v>
      </c>
      <c r="F5" s="3">
        <v>1</v>
      </c>
      <c r="G5" s="3">
        <v>0.98770000000000002</v>
      </c>
      <c r="H5">
        <v>3</v>
      </c>
      <c r="I5" s="3">
        <v>1</v>
      </c>
      <c r="J5" s="3">
        <v>1</v>
      </c>
      <c r="K5">
        <v>3</v>
      </c>
      <c r="L5" s="3">
        <v>1</v>
      </c>
      <c r="M5">
        <v>3</v>
      </c>
      <c r="N5" s="3">
        <v>0.96909999999999996</v>
      </c>
      <c r="O5">
        <v>3</v>
      </c>
      <c r="P5" s="3">
        <v>1</v>
      </c>
      <c r="Q5">
        <v>3</v>
      </c>
      <c r="R5" s="3">
        <v>0.99380000000000002</v>
      </c>
      <c r="S5">
        <v>3</v>
      </c>
      <c r="T5" s="3">
        <v>1</v>
      </c>
      <c r="U5">
        <v>3</v>
      </c>
      <c r="V5" s="3">
        <v>0.93020000000000003</v>
      </c>
      <c r="W5">
        <v>3</v>
      </c>
      <c r="X5" s="3">
        <v>1</v>
      </c>
      <c r="Y5">
        <v>3</v>
      </c>
      <c r="Z5" s="3">
        <v>1.0313000000000001</v>
      </c>
      <c r="AA5">
        <v>3</v>
      </c>
      <c r="AB5" s="3">
        <v>1.8499999999999999E-2</v>
      </c>
      <c r="AC5">
        <v>3</v>
      </c>
      <c r="AE5">
        <v>0</v>
      </c>
      <c r="AG5">
        <v>3</v>
      </c>
      <c r="AH5" s="3">
        <v>0.97560000000000002</v>
      </c>
      <c r="AI5">
        <v>3</v>
      </c>
      <c r="AK5">
        <v>3</v>
      </c>
      <c r="AL5" s="3">
        <v>1.08</v>
      </c>
      <c r="AM5">
        <v>3</v>
      </c>
      <c r="AN5" s="4">
        <v>1</v>
      </c>
      <c r="AO5">
        <v>3</v>
      </c>
    </row>
    <row r="6" spans="1:41" x14ac:dyDescent="0.25">
      <c r="A6" t="s">
        <v>0</v>
      </c>
      <c r="B6" t="s">
        <v>2</v>
      </c>
      <c r="C6">
        <v>25014412</v>
      </c>
      <c r="D6" t="s">
        <v>63</v>
      </c>
      <c r="E6">
        <v>39</v>
      </c>
      <c r="F6" s="3">
        <v>1</v>
      </c>
      <c r="G6" s="3">
        <v>0.95179999999999998</v>
      </c>
      <c r="H6">
        <v>3</v>
      </c>
      <c r="I6" s="3">
        <v>0.9819</v>
      </c>
      <c r="J6" s="3">
        <v>0.9819</v>
      </c>
      <c r="K6">
        <v>3</v>
      </c>
      <c r="L6" s="3">
        <v>0.93369999999999997</v>
      </c>
      <c r="M6">
        <v>1.5</v>
      </c>
      <c r="N6" s="3">
        <v>0.87350000000000005</v>
      </c>
      <c r="O6">
        <v>0</v>
      </c>
      <c r="P6" s="3">
        <v>0.98799999999999999</v>
      </c>
      <c r="Q6">
        <v>3</v>
      </c>
      <c r="R6" s="3">
        <v>0.97589999999999999</v>
      </c>
      <c r="S6">
        <v>3</v>
      </c>
      <c r="T6" s="3">
        <v>0.95779999999999998</v>
      </c>
      <c r="U6">
        <v>3</v>
      </c>
      <c r="V6" s="3">
        <v>0.96430000000000005</v>
      </c>
      <c r="W6">
        <v>3</v>
      </c>
      <c r="X6" s="3">
        <v>1</v>
      </c>
      <c r="Y6">
        <v>3</v>
      </c>
      <c r="Z6" s="3">
        <v>1</v>
      </c>
      <c r="AA6">
        <v>3</v>
      </c>
      <c r="AB6" s="3">
        <v>0.1145</v>
      </c>
      <c r="AC6">
        <v>0</v>
      </c>
      <c r="AE6">
        <v>0</v>
      </c>
      <c r="AG6">
        <v>3</v>
      </c>
      <c r="AH6" s="3">
        <v>0.97619999999999996</v>
      </c>
      <c r="AI6">
        <v>3</v>
      </c>
      <c r="AK6">
        <v>3</v>
      </c>
      <c r="AL6" s="3">
        <v>0.92</v>
      </c>
      <c r="AM6">
        <v>1.5</v>
      </c>
      <c r="AN6" s="4">
        <v>1</v>
      </c>
      <c r="AO6">
        <v>3</v>
      </c>
    </row>
    <row r="7" spans="1:41" x14ac:dyDescent="0.25">
      <c r="A7" t="s">
        <v>0</v>
      </c>
      <c r="B7" t="s">
        <v>1</v>
      </c>
      <c r="C7">
        <v>25018094</v>
      </c>
      <c r="D7" t="s">
        <v>62</v>
      </c>
      <c r="E7">
        <v>34.5</v>
      </c>
      <c r="F7" s="3">
        <v>0.95450000000000002</v>
      </c>
      <c r="G7" s="3">
        <v>0.89770000000000005</v>
      </c>
      <c r="H7">
        <v>3</v>
      </c>
      <c r="I7" s="3">
        <v>0.92800000000000005</v>
      </c>
      <c r="J7" s="3">
        <v>0.92800000000000005</v>
      </c>
      <c r="K7">
        <v>1.5</v>
      </c>
      <c r="L7" s="3">
        <v>0.93179999999999996</v>
      </c>
      <c r="M7">
        <v>1.5</v>
      </c>
      <c r="N7" s="3">
        <v>0.92420000000000002</v>
      </c>
      <c r="O7">
        <v>1.5</v>
      </c>
      <c r="P7" s="3">
        <v>0.92049999999999998</v>
      </c>
      <c r="Q7">
        <v>1.5</v>
      </c>
      <c r="R7" s="3">
        <v>0.93559999999999999</v>
      </c>
      <c r="S7">
        <v>1.5</v>
      </c>
      <c r="T7" s="3">
        <v>0.90529999999999999</v>
      </c>
      <c r="U7">
        <v>1.5</v>
      </c>
      <c r="V7" s="3">
        <v>0.97870000000000001</v>
      </c>
      <c r="W7">
        <v>3</v>
      </c>
      <c r="X7" s="3">
        <v>0.97829999999999995</v>
      </c>
      <c r="Y7">
        <v>3</v>
      </c>
      <c r="Z7" s="3">
        <v>1</v>
      </c>
      <c r="AA7">
        <v>3</v>
      </c>
      <c r="AB7" s="3">
        <v>0.1326</v>
      </c>
      <c r="AC7">
        <v>0</v>
      </c>
      <c r="AD7" s="3">
        <v>0.68179999999999996</v>
      </c>
      <c r="AE7">
        <v>0</v>
      </c>
      <c r="AG7">
        <v>3</v>
      </c>
      <c r="AH7" s="3">
        <v>0.93330000000000002</v>
      </c>
      <c r="AI7">
        <v>1.5</v>
      </c>
      <c r="AJ7" s="3">
        <v>1.52E-2</v>
      </c>
      <c r="AK7">
        <v>3</v>
      </c>
      <c r="AL7" s="3">
        <v>1</v>
      </c>
      <c r="AM7">
        <v>3</v>
      </c>
      <c r="AN7" s="4">
        <v>1</v>
      </c>
      <c r="AO7">
        <v>3</v>
      </c>
    </row>
    <row r="8" spans="1:41" x14ac:dyDescent="0.25">
      <c r="A8" t="s">
        <v>0</v>
      </c>
      <c r="B8" t="s">
        <v>10</v>
      </c>
      <c r="C8">
        <v>25130242</v>
      </c>
      <c r="D8" t="s">
        <v>11</v>
      </c>
      <c r="E8">
        <v>46.5</v>
      </c>
      <c r="F8" s="3">
        <v>1</v>
      </c>
      <c r="G8" s="3">
        <v>1</v>
      </c>
      <c r="H8">
        <v>3</v>
      </c>
      <c r="I8" s="3">
        <v>1</v>
      </c>
      <c r="J8" s="3">
        <v>1</v>
      </c>
      <c r="K8">
        <v>3</v>
      </c>
      <c r="L8" s="3">
        <v>1</v>
      </c>
      <c r="M8">
        <v>3</v>
      </c>
      <c r="N8" s="3">
        <v>1</v>
      </c>
      <c r="O8">
        <v>3</v>
      </c>
      <c r="P8" s="3">
        <v>1</v>
      </c>
      <c r="Q8">
        <v>3</v>
      </c>
      <c r="R8" s="3">
        <v>1</v>
      </c>
      <c r="S8">
        <v>3</v>
      </c>
      <c r="T8" s="3">
        <v>1</v>
      </c>
      <c r="U8">
        <v>3</v>
      </c>
      <c r="V8" s="3">
        <v>0.9</v>
      </c>
      <c r="W8">
        <v>1.5</v>
      </c>
      <c r="X8" s="3">
        <v>0.97260000000000002</v>
      </c>
      <c r="Y8">
        <v>3</v>
      </c>
      <c r="Z8" s="3">
        <v>1</v>
      </c>
      <c r="AA8">
        <v>3</v>
      </c>
      <c r="AB8" s="3"/>
      <c r="AC8">
        <v>3</v>
      </c>
      <c r="AD8" s="3">
        <v>0.22800000000000001</v>
      </c>
      <c r="AE8">
        <v>0</v>
      </c>
      <c r="AG8">
        <v>3</v>
      </c>
      <c r="AH8" s="3">
        <v>0.98609999999999998</v>
      </c>
      <c r="AI8">
        <v>3</v>
      </c>
      <c r="AK8">
        <v>3</v>
      </c>
      <c r="AL8" s="3">
        <v>1.21</v>
      </c>
      <c r="AM8">
        <v>3</v>
      </c>
      <c r="AN8" s="4">
        <v>1</v>
      </c>
      <c r="AO8">
        <v>3</v>
      </c>
    </row>
    <row r="9" spans="1:41" x14ac:dyDescent="0.25">
      <c r="A9" t="s">
        <v>0</v>
      </c>
      <c r="B9" t="s">
        <v>3</v>
      </c>
      <c r="C9">
        <v>25019538</v>
      </c>
      <c r="D9" t="s">
        <v>4</v>
      </c>
      <c r="E9">
        <v>48</v>
      </c>
      <c r="F9" s="3">
        <v>1</v>
      </c>
      <c r="G9" s="3">
        <v>1</v>
      </c>
      <c r="H9">
        <v>3</v>
      </c>
      <c r="I9" s="3">
        <v>1</v>
      </c>
      <c r="J9" s="3">
        <v>1</v>
      </c>
      <c r="K9">
        <v>3</v>
      </c>
      <c r="L9" s="3">
        <v>1</v>
      </c>
      <c r="M9">
        <v>3</v>
      </c>
      <c r="N9" s="3">
        <v>1</v>
      </c>
      <c r="O9">
        <v>3</v>
      </c>
      <c r="P9" s="3">
        <v>1</v>
      </c>
      <c r="Q9">
        <v>3</v>
      </c>
      <c r="R9" s="3">
        <v>1</v>
      </c>
      <c r="S9">
        <v>3</v>
      </c>
      <c r="T9" s="3">
        <v>1</v>
      </c>
      <c r="U9">
        <v>3</v>
      </c>
      <c r="V9" s="3">
        <v>1</v>
      </c>
      <c r="W9">
        <v>3</v>
      </c>
      <c r="X9" s="3">
        <v>1</v>
      </c>
      <c r="Y9">
        <v>3</v>
      </c>
      <c r="Z9" s="3">
        <v>0.97829999999999995</v>
      </c>
      <c r="AA9">
        <v>3</v>
      </c>
      <c r="AC9">
        <v>3</v>
      </c>
      <c r="AD9" s="3">
        <v>0.87109999999999999</v>
      </c>
      <c r="AE9">
        <v>0</v>
      </c>
      <c r="AG9">
        <v>3</v>
      </c>
      <c r="AH9" s="3">
        <v>0.94230000000000003</v>
      </c>
      <c r="AI9">
        <v>3</v>
      </c>
      <c r="AK9">
        <v>3</v>
      </c>
      <c r="AL9" s="3">
        <v>1.05</v>
      </c>
      <c r="AM9">
        <v>3</v>
      </c>
      <c r="AN9" s="4">
        <v>1</v>
      </c>
      <c r="AO9">
        <v>3</v>
      </c>
    </row>
    <row r="10" spans="1:41" x14ac:dyDescent="0.25">
      <c r="A10" t="s">
        <v>0</v>
      </c>
      <c r="B10" t="s">
        <v>10</v>
      </c>
      <c r="C10">
        <v>25018280</v>
      </c>
      <c r="D10" t="s">
        <v>73</v>
      </c>
      <c r="E10">
        <v>42</v>
      </c>
      <c r="F10" s="3">
        <v>0.99780000000000002</v>
      </c>
      <c r="G10" s="3">
        <v>0.91700000000000004</v>
      </c>
      <c r="H10">
        <v>3</v>
      </c>
      <c r="I10" s="3">
        <v>0.96719999999999995</v>
      </c>
      <c r="J10" s="3">
        <v>0.96719999999999995</v>
      </c>
      <c r="K10">
        <v>3</v>
      </c>
      <c r="L10" s="3">
        <v>0.92359999999999998</v>
      </c>
      <c r="M10">
        <v>1.5</v>
      </c>
      <c r="N10" s="3">
        <v>0.93669999999999998</v>
      </c>
      <c r="O10">
        <v>1.5</v>
      </c>
      <c r="P10" s="3">
        <v>0.98909999999999998</v>
      </c>
      <c r="Q10">
        <v>3</v>
      </c>
      <c r="R10" s="3">
        <v>0.97599999999999998</v>
      </c>
      <c r="S10">
        <v>3</v>
      </c>
      <c r="T10" s="3">
        <v>0.95199999999999996</v>
      </c>
      <c r="U10">
        <v>3</v>
      </c>
      <c r="V10" s="3">
        <v>0.98250000000000004</v>
      </c>
      <c r="W10">
        <v>3</v>
      </c>
      <c r="X10" s="3">
        <v>0.98060000000000003</v>
      </c>
      <c r="Y10">
        <v>3</v>
      </c>
      <c r="Z10" s="3">
        <v>1</v>
      </c>
      <c r="AA10">
        <v>3</v>
      </c>
      <c r="AB10" s="3">
        <v>7.2099999999999997E-2</v>
      </c>
      <c r="AC10">
        <v>0</v>
      </c>
      <c r="AD10" s="3">
        <v>0.64629999999999999</v>
      </c>
      <c r="AE10">
        <v>0</v>
      </c>
      <c r="AG10">
        <v>3</v>
      </c>
      <c r="AH10" s="3">
        <v>1</v>
      </c>
      <c r="AI10">
        <v>3</v>
      </c>
      <c r="AK10">
        <v>3</v>
      </c>
      <c r="AL10" s="3">
        <v>1.1599999999999999</v>
      </c>
      <c r="AM10">
        <v>3</v>
      </c>
      <c r="AN10" s="4">
        <v>1</v>
      </c>
      <c r="AO10">
        <v>3</v>
      </c>
    </row>
    <row r="11" spans="1:41" x14ac:dyDescent="0.25">
      <c r="A11" t="s">
        <v>0</v>
      </c>
      <c r="B11" t="s">
        <v>7</v>
      </c>
      <c r="C11">
        <v>25017080</v>
      </c>
      <c r="D11" t="s">
        <v>66</v>
      </c>
      <c r="E11">
        <v>39</v>
      </c>
      <c r="F11" s="3">
        <v>0.98809999999999998</v>
      </c>
      <c r="G11" s="3">
        <v>0.88100000000000001</v>
      </c>
      <c r="H11">
        <v>3</v>
      </c>
      <c r="I11" s="3">
        <v>0.95830000000000004</v>
      </c>
      <c r="J11" s="3">
        <v>0.95830000000000004</v>
      </c>
      <c r="K11">
        <v>3</v>
      </c>
      <c r="L11" s="3">
        <v>0.9345</v>
      </c>
      <c r="M11">
        <v>1.5</v>
      </c>
      <c r="N11" s="3">
        <v>1</v>
      </c>
      <c r="O11">
        <v>3</v>
      </c>
      <c r="P11" s="3">
        <v>0.9345</v>
      </c>
      <c r="Q11">
        <v>1.5</v>
      </c>
      <c r="R11" s="3">
        <v>0.96430000000000005</v>
      </c>
      <c r="S11">
        <v>3</v>
      </c>
      <c r="T11" s="3">
        <v>0.99399999999999999</v>
      </c>
      <c r="U11">
        <v>3</v>
      </c>
      <c r="V11" s="3">
        <v>0.96489999999999998</v>
      </c>
      <c r="W11">
        <v>3</v>
      </c>
      <c r="X11" s="3">
        <v>0.94440000000000002</v>
      </c>
      <c r="Y11">
        <v>3</v>
      </c>
      <c r="Z11" s="3">
        <v>1.0238</v>
      </c>
      <c r="AA11">
        <v>3</v>
      </c>
      <c r="AB11" s="3">
        <v>0.11310000000000001</v>
      </c>
      <c r="AC11">
        <v>0</v>
      </c>
      <c r="AD11" s="3">
        <v>0.99399999999999999</v>
      </c>
      <c r="AE11">
        <v>3</v>
      </c>
      <c r="AG11">
        <v>3</v>
      </c>
      <c r="AH11" s="3">
        <v>0.89090000000000003</v>
      </c>
      <c r="AI11">
        <v>0</v>
      </c>
      <c r="AK11">
        <v>3</v>
      </c>
      <c r="AL11" s="3">
        <v>1.08</v>
      </c>
      <c r="AM11">
        <v>3</v>
      </c>
      <c r="AN11" s="4">
        <v>1</v>
      </c>
      <c r="AO11">
        <v>3</v>
      </c>
    </row>
    <row r="12" spans="1:41" x14ac:dyDescent="0.25">
      <c r="A12" t="s">
        <v>0</v>
      </c>
      <c r="B12" t="s">
        <v>21</v>
      </c>
      <c r="C12">
        <v>25126342</v>
      </c>
      <c r="D12" t="s">
        <v>22</v>
      </c>
      <c r="E12">
        <v>45</v>
      </c>
      <c r="F12" s="3">
        <v>0.98799999999999999</v>
      </c>
      <c r="G12" s="3">
        <v>0.92769999999999997</v>
      </c>
      <c r="H12">
        <v>3</v>
      </c>
      <c r="I12" s="3">
        <v>1</v>
      </c>
      <c r="J12" s="3">
        <v>1</v>
      </c>
      <c r="K12">
        <v>3</v>
      </c>
      <c r="L12" s="3">
        <v>0.98799999999999999</v>
      </c>
      <c r="M12">
        <v>3</v>
      </c>
      <c r="N12" s="3">
        <v>1</v>
      </c>
      <c r="O12">
        <v>3</v>
      </c>
      <c r="P12" s="3">
        <v>1</v>
      </c>
      <c r="Q12">
        <v>3</v>
      </c>
      <c r="R12" s="3">
        <v>1</v>
      </c>
      <c r="S12">
        <v>3</v>
      </c>
      <c r="T12" s="3">
        <v>1</v>
      </c>
      <c r="U12">
        <v>3</v>
      </c>
      <c r="V12" s="3">
        <v>0.95240000000000002</v>
      </c>
      <c r="W12">
        <v>3</v>
      </c>
      <c r="X12" s="3">
        <v>1</v>
      </c>
      <c r="Y12">
        <v>3</v>
      </c>
      <c r="Z12" s="3">
        <v>1.087</v>
      </c>
      <c r="AA12">
        <v>3</v>
      </c>
      <c r="AB12" s="3">
        <v>1.2E-2</v>
      </c>
      <c r="AC12">
        <v>3</v>
      </c>
      <c r="AE12">
        <v>0</v>
      </c>
      <c r="AG12">
        <v>3</v>
      </c>
      <c r="AI12">
        <v>0</v>
      </c>
      <c r="AK12">
        <v>3</v>
      </c>
      <c r="AL12" s="3">
        <v>1.17</v>
      </c>
      <c r="AM12">
        <v>3</v>
      </c>
      <c r="AN12" s="4">
        <v>1</v>
      </c>
      <c r="AO12">
        <v>3</v>
      </c>
    </row>
    <row r="13" spans="1:41" x14ac:dyDescent="0.25">
      <c r="A13" t="s">
        <v>0</v>
      </c>
      <c r="B13" t="s">
        <v>10</v>
      </c>
      <c r="C13">
        <v>25018124</v>
      </c>
      <c r="D13" t="s">
        <v>12</v>
      </c>
      <c r="E13">
        <v>24</v>
      </c>
      <c r="F13" s="3">
        <v>0.96889999999999998</v>
      </c>
      <c r="G13" s="3">
        <v>0.85750000000000004</v>
      </c>
      <c r="H13">
        <v>3</v>
      </c>
      <c r="I13" s="3">
        <v>0.93779999999999997</v>
      </c>
      <c r="J13" s="3">
        <v>0.93779999999999997</v>
      </c>
      <c r="K13">
        <v>1.5</v>
      </c>
      <c r="L13" s="3">
        <v>0.85750000000000004</v>
      </c>
      <c r="M13">
        <v>0</v>
      </c>
      <c r="N13" s="3">
        <v>0.83420000000000005</v>
      </c>
      <c r="O13">
        <v>0</v>
      </c>
      <c r="P13" s="3">
        <v>0.80049999999999999</v>
      </c>
      <c r="Q13">
        <v>0</v>
      </c>
      <c r="R13" s="3">
        <v>0.94299999999999995</v>
      </c>
      <c r="S13">
        <v>3</v>
      </c>
      <c r="T13" s="3">
        <v>0.81869999999999998</v>
      </c>
      <c r="U13">
        <v>0</v>
      </c>
      <c r="V13" s="3">
        <v>0.96</v>
      </c>
      <c r="W13">
        <v>3</v>
      </c>
      <c r="X13" s="3">
        <v>0.97560000000000002</v>
      </c>
      <c r="Y13">
        <v>3</v>
      </c>
      <c r="Z13" s="3">
        <v>0.89539999999999997</v>
      </c>
      <c r="AA13">
        <v>1.5</v>
      </c>
      <c r="AB13" s="3">
        <v>0.20979999999999999</v>
      </c>
      <c r="AC13">
        <v>0</v>
      </c>
      <c r="AE13">
        <v>0</v>
      </c>
      <c r="AG13">
        <v>3</v>
      </c>
      <c r="AI13">
        <v>0</v>
      </c>
      <c r="AJ13" s="3">
        <v>2.5999999999999999E-3</v>
      </c>
      <c r="AK13">
        <v>3</v>
      </c>
      <c r="AL13" s="3">
        <v>0.68</v>
      </c>
      <c r="AM13">
        <v>0</v>
      </c>
      <c r="AN13" s="4">
        <v>1</v>
      </c>
      <c r="AO13">
        <v>3</v>
      </c>
    </row>
    <row r="14" spans="1:41" x14ac:dyDescent="0.25">
      <c r="A14" t="s">
        <v>0</v>
      </c>
      <c r="B14" t="s">
        <v>10</v>
      </c>
      <c r="C14">
        <v>25018132</v>
      </c>
      <c r="D14" t="s">
        <v>13</v>
      </c>
      <c r="E14">
        <v>43.5</v>
      </c>
      <c r="F14" s="3">
        <v>0.98929999999999996</v>
      </c>
      <c r="G14" s="3">
        <v>0.95440000000000003</v>
      </c>
      <c r="H14">
        <v>3</v>
      </c>
      <c r="I14" s="3">
        <v>1</v>
      </c>
      <c r="J14" s="3">
        <v>1</v>
      </c>
      <c r="K14">
        <v>3</v>
      </c>
      <c r="L14" s="3">
        <v>0.9839</v>
      </c>
      <c r="M14">
        <v>3</v>
      </c>
      <c r="N14" s="3">
        <v>0.97050000000000003</v>
      </c>
      <c r="O14">
        <v>3</v>
      </c>
      <c r="P14" s="3">
        <v>0.99729999999999996</v>
      </c>
      <c r="Q14">
        <v>3</v>
      </c>
      <c r="R14" s="3">
        <v>1</v>
      </c>
      <c r="S14">
        <v>3</v>
      </c>
      <c r="T14" s="3">
        <v>0.91149999999999998</v>
      </c>
      <c r="U14">
        <v>1.5</v>
      </c>
      <c r="V14" s="3">
        <v>0.9103</v>
      </c>
      <c r="W14">
        <v>3</v>
      </c>
      <c r="X14" s="3">
        <v>1</v>
      </c>
      <c r="Y14">
        <v>3</v>
      </c>
      <c r="Z14" s="3">
        <v>0.96050000000000002</v>
      </c>
      <c r="AA14">
        <v>3</v>
      </c>
      <c r="AB14" s="3">
        <v>1.34E-2</v>
      </c>
      <c r="AC14">
        <v>3</v>
      </c>
      <c r="AE14">
        <v>0</v>
      </c>
      <c r="AG14">
        <v>3</v>
      </c>
      <c r="AI14">
        <v>0</v>
      </c>
      <c r="AJ14" s="3">
        <v>5.4000000000000003E-3</v>
      </c>
      <c r="AK14">
        <v>3</v>
      </c>
      <c r="AL14" s="3">
        <v>1</v>
      </c>
      <c r="AM14">
        <v>3</v>
      </c>
      <c r="AN14" s="4">
        <v>1</v>
      </c>
      <c r="AO14">
        <v>3</v>
      </c>
    </row>
    <row r="15" spans="1:41" x14ac:dyDescent="0.25">
      <c r="A15" t="s">
        <v>0</v>
      </c>
      <c r="B15" t="s">
        <v>10</v>
      </c>
      <c r="C15">
        <v>25018256</v>
      </c>
      <c r="D15" t="s">
        <v>14</v>
      </c>
      <c r="E15">
        <v>33</v>
      </c>
      <c r="F15" s="3">
        <v>0.95730000000000004</v>
      </c>
      <c r="G15" s="3">
        <v>0.77070000000000005</v>
      </c>
      <c r="H15">
        <v>3</v>
      </c>
      <c r="I15" s="3">
        <v>0.96530000000000005</v>
      </c>
      <c r="J15" s="3">
        <v>0.96530000000000005</v>
      </c>
      <c r="K15">
        <v>3</v>
      </c>
      <c r="L15" s="3">
        <v>0.81599999999999995</v>
      </c>
      <c r="M15">
        <v>0</v>
      </c>
      <c r="N15" s="3">
        <v>0.70669999999999999</v>
      </c>
      <c r="O15">
        <v>0</v>
      </c>
      <c r="P15" s="3">
        <v>0.88270000000000004</v>
      </c>
      <c r="Q15">
        <v>0</v>
      </c>
      <c r="R15" s="3">
        <v>0.96530000000000005</v>
      </c>
      <c r="S15">
        <v>3</v>
      </c>
      <c r="T15" s="3">
        <v>0.94399999999999995</v>
      </c>
      <c r="U15">
        <v>3</v>
      </c>
      <c r="V15" s="3">
        <v>0.97440000000000004</v>
      </c>
      <c r="W15">
        <v>3</v>
      </c>
      <c r="X15" s="3">
        <v>0.98250000000000004</v>
      </c>
      <c r="Y15">
        <v>3</v>
      </c>
      <c r="Z15" s="3">
        <v>0.97809999999999997</v>
      </c>
      <c r="AA15">
        <v>3</v>
      </c>
      <c r="AB15" s="3">
        <v>0.28270000000000001</v>
      </c>
      <c r="AC15">
        <v>0</v>
      </c>
      <c r="AE15">
        <v>0</v>
      </c>
      <c r="AG15">
        <v>3</v>
      </c>
      <c r="AI15">
        <v>0</v>
      </c>
      <c r="AJ15" s="3">
        <v>8.0000000000000002E-3</v>
      </c>
      <c r="AK15">
        <v>3</v>
      </c>
      <c r="AL15" s="3">
        <v>1.1000000000000001</v>
      </c>
      <c r="AM15">
        <v>3</v>
      </c>
      <c r="AN15" s="4">
        <v>1</v>
      </c>
      <c r="AO15">
        <v>3</v>
      </c>
    </row>
    <row r="16" spans="1:41" x14ac:dyDescent="0.25">
      <c r="A16" t="s">
        <v>0</v>
      </c>
      <c r="B16" t="s">
        <v>10</v>
      </c>
      <c r="C16">
        <v>25018264</v>
      </c>
      <c r="D16" t="s">
        <v>71</v>
      </c>
      <c r="E16">
        <v>36</v>
      </c>
      <c r="F16" s="3">
        <v>0.96330000000000005</v>
      </c>
      <c r="G16" s="3">
        <v>0.92659999999999998</v>
      </c>
      <c r="H16">
        <v>3</v>
      </c>
      <c r="I16" s="3">
        <v>1</v>
      </c>
      <c r="J16" s="3">
        <v>1</v>
      </c>
      <c r="K16">
        <v>3</v>
      </c>
      <c r="L16" s="3">
        <v>0.98170000000000002</v>
      </c>
      <c r="M16">
        <v>3</v>
      </c>
      <c r="N16" s="3">
        <v>0.99080000000000001</v>
      </c>
      <c r="O16">
        <v>3</v>
      </c>
      <c r="P16" s="3">
        <v>0.99080000000000001</v>
      </c>
      <c r="Q16">
        <v>3</v>
      </c>
      <c r="R16" s="3">
        <v>1</v>
      </c>
      <c r="S16">
        <v>3</v>
      </c>
      <c r="T16" s="3">
        <v>0.96330000000000005</v>
      </c>
      <c r="U16">
        <v>3</v>
      </c>
      <c r="V16" s="3">
        <v>0.8</v>
      </c>
      <c r="W16">
        <v>0</v>
      </c>
      <c r="X16" s="3">
        <v>0.77270000000000005</v>
      </c>
      <c r="Y16">
        <v>0</v>
      </c>
      <c r="Z16" s="3">
        <v>1</v>
      </c>
      <c r="AA16">
        <v>3</v>
      </c>
      <c r="AB16" s="3">
        <v>3.6700000000000003E-2</v>
      </c>
      <c r="AC16">
        <v>3</v>
      </c>
      <c r="AE16">
        <v>0</v>
      </c>
      <c r="AG16">
        <v>3</v>
      </c>
      <c r="AI16">
        <v>0</v>
      </c>
      <c r="AJ16" s="3">
        <v>1.83E-2</v>
      </c>
      <c r="AK16">
        <v>3</v>
      </c>
      <c r="AL16" s="3">
        <v>0.82</v>
      </c>
      <c r="AM16">
        <v>0</v>
      </c>
      <c r="AN16" s="4">
        <v>1</v>
      </c>
      <c r="AO16">
        <v>3</v>
      </c>
    </row>
    <row r="17" spans="1:41" x14ac:dyDescent="0.25">
      <c r="A17" t="s">
        <v>0</v>
      </c>
      <c r="B17" t="s">
        <v>5</v>
      </c>
      <c r="C17">
        <v>25014960</v>
      </c>
      <c r="D17" t="s">
        <v>6</v>
      </c>
      <c r="E17">
        <v>33</v>
      </c>
      <c r="F17" s="3">
        <v>0.97460000000000002</v>
      </c>
      <c r="G17" s="3">
        <v>0.92369999999999997</v>
      </c>
      <c r="H17">
        <v>3</v>
      </c>
      <c r="I17" s="3">
        <v>0.98309999999999997</v>
      </c>
      <c r="J17" s="3">
        <v>0.98309999999999997</v>
      </c>
      <c r="K17">
        <v>3</v>
      </c>
      <c r="L17" s="3">
        <v>0.95760000000000001</v>
      </c>
      <c r="M17">
        <v>3</v>
      </c>
      <c r="N17" s="3">
        <v>0.93220000000000003</v>
      </c>
      <c r="O17">
        <v>1.5</v>
      </c>
      <c r="P17" s="3">
        <v>0.99150000000000005</v>
      </c>
      <c r="Q17">
        <v>3</v>
      </c>
      <c r="R17" s="3">
        <v>0.98309999999999997</v>
      </c>
      <c r="S17">
        <v>3</v>
      </c>
      <c r="T17" s="3">
        <v>0.93220000000000003</v>
      </c>
      <c r="U17">
        <v>1.5</v>
      </c>
      <c r="V17" s="3">
        <v>0.89659999999999995</v>
      </c>
      <c r="W17">
        <v>1.5</v>
      </c>
      <c r="X17" s="3">
        <v>0.77780000000000005</v>
      </c>
      <c r="Y17">
        <v>0</v>
      </c>
      <c r="Z17" s="3">
        <v>0.91890000000000005</v>
      </c>
      <c r="AA17">
        <v>3</v>
      </c>
      <c r="AB17" s="3">
        <v>5.0799999999999998E-2</v>
      </c>
      <c r="AC17">
        <v>0</v>
      </c>
      <c r="AE17">
        <v>0</v>
      </c>
      <c r="AG17">
        <v>3</v>
      </c>
      <c r="AI17">
        <v>0</v>
      </c>
      <c r="AK17">
        <v>3</v>
      </c>
      <c r="AL17" s="3">
        <v>0.91</v>
      </c>
      <c r="AM17">
        <v>1.5</v>
      </c>
      <c r="AN17" s="4">
        <v>1</v>
      </c>
      <c r="AO17">
        <v>3</v>
      </c>
    </row>
    <row r="18" spans="1:41" x14ac:dyDescent="0.25">
      <c r="A18" t="s">
        <v>0</v>
      </c>
      <c r="B18" t="s">
        <v>7</v>
      </c>
      <c r="C18">
        <v>25017071</v>
      </c>
      <c r="D18" t="s">
        <v>65</v>
      </c>
      <c r="E18">
        <v>40.5</v>
      </c>
      <c r="F18" s="3">
        <v>0.98160000000000003</v>
      </c>
      <c r="G18" s="3">
        <v>0.94479999999999997</v>
      </c>
      <c r="H18">
        <v>3</v>
      </c>
      <c r="I18" s="3">
        <v>1</v>
      </c>
      <c r="J18" s="3">
        <v>1</v>
      </c>
      <c r="K18">
        <v>3</v>
      </c>
      <c r="L18" s="3">
        <v>0.98160000000000003</v>
      </c>
      <c r="M18">
        <v>3</v>
      </c>
      <c r="N18" s="3">
        <v>0.92020000000000002</v>
      </c>
      <c r="O18">
        <v>1.5</v>
      </c>
      <c r="P18" s="3">
        <v>0.97550000000000003</v>
      </c>
      <c r="Q18">
        <v>3</v>
      </c>
      <c r="R18" s="3">
        <v>0.99390000000000001</v>
      </c>
      <c r="S18">
        <v>3</v>
      </c>
      <c r="T18" s="3">
        <v>0.98160000000000003</v>
      </c>
      <c r="U18">
        <v>3</v>
      </c>
      <c r="V18" s="3">
        <v>0.94</v>
      </c>
      <c r="W18">
        <v>3</v>
      </c>
      <c r="X18" s="3">
        <v>1</v>
      </c>
      <c r="Y18">
        <v>3</v>
      </c>
      <c r="Z18" s="3">
        <v>0.96919999999999995</v>
      </c>
      <c r="AA18">
        <v>3</v>
      </c>
      <c r="AB18" s="3">
        <v>5.5199999999999999E-2</v>
      </c>
      <c r="AC18">
        <v>0</v>
      </c>
      <c r="AE18">
        <v>0</v>
      </c>
      <c r="AG18">
        <v>3</v>
      </c>
      <c r="AI18">
        <v>0</v>
      </c>
      <c r="AK18">
        <v>3</v>
      </c>
      <c r="AL18" s="3">
        <v>1.21</v>
      </c>
      <c r="AM18">
        <v>3</v>
      </c>
      <c r="AN18" s="4">
        <v>1</v>
      </c>
      <c r="AO18">
        <v>3</v>
      </c>
    </row>
    <row r="19" spans="1:41" x14ac:dyDescent="0.25">
      <c r="A19" t="s">
        <v>0</v>
      </c>
      <c r="B19" t="s">
        <v>10</v>
      </c>
      <c r="C19">
        <v>25130846</v>
      </c>
      <c r="D19" t="s">
        <v>15</v>
      </c>
      <c r="E19">
        <v>36</v>
      </c>
      <c r="F19" s="3">
        <v>0.9859</v>
      </c>
      <c r="G19" s="3">
        <v>0.9718</v>
      </c>
      <c r="H19">
        <v>3</v>
      </c>
      <c r="I19" s="3">
        <v>1</v>
      </c>
      <c r="J19" s="3">
        <v>1</v>
      </c>
      <c r="K19">
        <v>3</v>
      </c>
      <c r="L19" s="3">
        <v>0.9859</v>
      </c>
      <c r="M19">
        <v>3</v>
      </c>
      <c r="N19" s="3">
        <v>0.9859</v>
      </c>
      <c r="O19">
        <v>3</v>
      </c>
      <c r="P19" s="3">
        <v>1</v>
      </c>
      <c r="Q19">
        <v>3</v>
      </c>
      <c r="R19" s="3">
        <v>1</v>
      </c>
      <c r="S19">
        <v>3</v>
      </c>
      <c r="T19" s="3">
        <v>1</v>
      </c>
      <c r="U19">
        <v>3</v>
      </c>
      <c r="W19">
        <v>0</v>
      </c>
      <c r="X19" s="3">
        <v>1</v>
      </c>
      <c r="Y19">
        <v>3</v>
      </c>
      <c r="AA19">
        <v>0</v>
      </c>
      <c r="AC19">
        <v>3</v>
      </c>
      <c r="AE19">
        <v>0</v>
      </c>
      <c r="AG19">
        <v>3</v>
      </c>
      <c r="AI19">
        <v>0</v>
      </c>
      <c r="AK19">
        <v>3</v>
      </c>
      <c r="AL19" s="3">
        <v>0.62</v>
      </c>
      <c r="AM19">
        <v>0</v>
      </c>
      <c r="AN19" s="4">
        <v>1</v>
      </c>
      <c r="AO19">
        <v>3</v>
      </c>
    </row>
    <row r="20" spans="1:41" x14ac:dyDescent="0.25">
      <c r="A20" t="s">
        <v>0</v>
      </c>
      <c r="B20" t="s">
        <v>10</v>
      </c>
      <c r="C20">
        <v>25018078</v>
      </c>
      <c r="D20" t="s">
        <v>69</v>
      </c>
      <c r="E20">
        <v>30</v>
      </c>
      <c r="F20" s="3">
        <v>0.9667</v>
      </c>
      <c r="G20" s="3">
        <v>0.84440000000000004</v>
      </c>
      <c r="H20">
        <v>3</v>
      </c>
      <c r="I20" s="3">
        <v>0.97219999999999995</v>
      </c>
      <c r="J20" s="3">
        <v>0.97219999999999995</v>
      </c>
      <c r="K20">
        <v>3</v>
      </c>
      <c r="L20" s="3">
        <v>0.82779999999999998</v>
      </c>
      <c r="M20">
        <v>0</v>
      </c>
      <c r="N20" s="3">
        <v>0.66110000000000002</v>
      </c>
      <c r="O20">
        <v>0</v>
      </c>
      <c r="P20" s="3">
        <v>0.91669999999999996</v>
      </c>
      <c r="Q20">
        <v>1.5</v>
      </c>
      <c r="R20" s="3">
        <v>0.9778</v>
      </c>
      <c r="S20">
        <v>3</v>
      </c>
      <c r="T20" s="3">
        <v>0.81669999999999998</v>
      </c>
      <c r="U20">
        <v>0</v>
      </c>
      <c r="V20" s="3">
        <v>0.88</v>
      </c>
      <c r="W20">
        <v>1.5</v>
      </c>
      <c r="X20" s="3">
        <v>0.96550000000000002</v>
      </c>
      <c r="Y20">
        <v>3</v>
      </c>
      <c r="Z20" s="3">
        <v>1.0769</v>
      </c>
      <c r="AA20">
        <v>3</v>
      </c>
      <c r="AB20" s="3">
        <v>0.27779999999999999</v>
      </c>
      <c r="AC20">
        <v>0</v>
      </c>
      <c r="AE20">
        <v>0</v>
      </c>
      <c r="AG20">
        <v>3</v>
      </c>
      <c r="AH20" s="3">
        <v>0.69230000000000003</v>
      </c>
      <c r="AI20">
        <v>0</v>
      </c>
      <c r="AJ20" s="3">
        <v>5.5999999999999999E-3</v>
      </c>
      <c r="AK20">
        <v>3</v>
      </c>
      <c r="AL20" s="3">
        <v>0.98</v>
      </c>
      <c r="AM20">
        <v>3</v>
      </c>
      <c r="AN20" s="4">
        <v>1</v>
      </c>
      <c r="AO20">
        <v>3</v>
      </c>
    </row>
    <row r="21" spans="1:41" x14ac:dyDescent="0.25">
      <c r="A21" t="s">
        <v>0</v>
      </c>
      <c r="B21" t="s">
        <v>10</v>
      </c>
      <c r="C21">
        <v>25019228</v>
      </c>
      <c r="D21" t="s">
        <v>16</v>
      </c>
      <c r="E21">
        <v>39</v>
      </c>
      <c r="F21" s="3">
        <v>0.93769999999999998</v>
      </c>
      <c r="G21" s="3">
        <v>0.7399</v>
      </c>
      <c r="H21">
        <v>3</v>
      </c>
      <c r="I21" s="3">
        <v>0.98170000000000002</v>
      </c>
      <c r="J21" s="3">
        <v>0.98170000000000002</v>
      </c>
      <c r="K21">
        <v>3</v>
      </c>
      <c r="L21" s="3">
        <v>0.94869999999999999</v>
      </c>
      <c r="M21">
        <v>3</v>
      </c>
      <c r="N21" s="3">
        <v>0.90839999999999999</v>
      </c>
      <c r="O21">
        <v>1.5</v>
      </c>
      <c r="P21" s="3">
        <v>0.9597</v>
      </c>
      <c r="Q21">
        <v>3</v>
      </c>
      <c r="R21" s="3">
        <v>0.97440000000000004</v>
      </c>
      <c r="S21">
        <v>3</v>
      </c>
      <c r="T21" s="3">
        <v>0.97070000000000001</v>
      </c>
      <c r="U21">
        <v>3</v>
      </c>
      <c r="V21" s="3">
        <v>1.0273000000000001</v>
      </c>
      <c r="W21">
        <v>3</v>
      </c>
      <c r="X21" s="3">
        <v>1</v>
      </c>
      <c r="Y21">
        <v>3</v>
      </c>
      <c r="Z21" s="3">
        <v>1</v>
      </c>
      <c r="AA21">
        <v>3</v>
      </c>
      <c r="AB21" s="3">
        <v>0.17949999999999999</v>
      </c>
      <c r="AC21">
        <v>0</v>
      </c>
      <c r="AE21">
        <v>0</v>
      </c>
      <c r="AG21">
        <v>3</v>
      </c>
      <c r="AH21" s="3">
        <v>0.91839999999999999</v>
      </c>
      <c r="AI21">
        <v>1.5</v>
      </c>
      <c r="AJ21" s="3">
        <v>2.5600000000000001E-2</v>
      </c>
      <c r="AK21">
        <v>3</v>
      </c>
      <c r="AL21" s="3">
        <v>0.88</v>
      </c>
      <c r="AM21">
        <v>0</v>
      </c>
      <c r="AN21" s="4">
        <v>1</v>
      </c>
      <c r="AO21">
        <v>3</v>
      </c>
    </row>
    <row r="22" spans="1:41" x14ac:dyDescent="0.25">
      <c r="A22" t="s">
        <v>0</v>
      </c>
      <c r="B22" t="s">
        <v>10</v>
      </c>
      <c r="C22">
        <v>25018140</v>
      </c>
      <c r="D22" t="s">
        <v>17</v>
      </c>
      <c r="E22">
        <v>21</v>
      </c>
      <c r="F22" s="3">
        <v>0.85</v>
      </c>
      <c r="G22" s="3">
        <v>0.61919999999999997</v>
      </c>
      <c r="H22">
        <v>1.5</v>
      </c>
      <c r="I22" s="3">
        <v>0.96919999999999995</v>
      </c>
      <c r="J22" s="3">
        <v>0.96919999999999995</v>
      </c>
      <c r="K22">
        <v>3</v>
      </c>
      <c r="L22" s="3">
        <v>0.88080000000000003</v>
      </c>
      <c r="M22">
        <v>0</v>
      </c>
      <c r="N22" s="3">
        <v>0.74229999999999996</v>
      </c>
      <c r="O22">
        <v>0</v>
      </c>
      <c r="P22" s="3">
        <v>0.82310000000000005</v>
      </c>
      <c r="Q22">
        <v>0</v>
      </c>
      <c r="R22" s="3">
        <v>0.9385</v>
      </c>
      <c r="S22">
        <v>1.5</v>
      </c>
      <c r="T22" s="3">
        <v>0.9</v>
      </c>
      <c r="U22">
        <v>1.5</v>
      </c>
      <c r="V22" s="3">
        <v>0.75639999999999996</v>
      </c>
      <c r="W22">
        <v>0</v>
      </c>
      <c r="X22" s="3">
        <v>1</v>
      </c>
      <c r="Y22">
        <v>3</v>
      </c>
      <c r="Z22" s="3">
        <v>0.8659</v>
      </c>
      <c r="AA22">
        <v>1.5</v>
      </c>
      <c r="AB22" s="3">
        <v>0.25380000000000003</v>
      </c>
      <c r="AC22">
        <v>0</v>
      </c>
      <c r="AE22">
        <v>0</v>
      </c>
      <c r="AG22">
        <v>3</v>
      </c>
      <c r="AH22" s="3">
        <v>0.83330000000000004</v>
      </c>
      <c r="AI22">
        <v>0</v>
      </c>
      <c r="AJ22" s="3">
        <v>1.15E-2</v>
      </c>
      <c r="AK22">
        <v>3</v>
      </c>
      <c r="AL22" s="3">
        <v>0.83</v>
      </c>
      <c r="AM22">
        <v>0</v>
      </c>
      <c r="AN22" s="4">
        <v>1</v>
      </c>
      <c r="AO22">
        <v>3</v>
      </c>
    </row>
    <row r="23" spans="1:41" x14ac:dyDescent="0.25">
      <c r="A23" t="s">
        <v>0</v>
      </c>
      <c r="B23" t="s">
        <v>10</v>
      </c>
      <c r="C23">
        <v>25018221</v>
      </c>
      <c r="D23" t="s">
        <v>70</v>
      </c>
      <c r="E23">
        <v>42</v>
      </c>
      <c r="F23" s="3">
        <v>0.98770000000000002</v>
      </c>
      <c r="G23" s="3">
        <v>0.95089999999999997</v>
      </c>
      <c r="H23">
        <v>3</v>
      </c>
      <c r="I23" s="3">
        <v>0.99390000000000001</v>
      </c>
      <c r="J23" s="3">
        <v>0.99390000000000001</v>
      </c>
      <c r="K23">
        <v>3</v>
      </c>
      <c r="L23" s="3">
        <v>0.99390000000000001</v>
      </c>
      <c r="M23">
        <v>3</v>
      </c>
      <c r="N23" s="3">
        <v>0.97550000000000003</v>
      </c>
      <c r="O23">
        <v>3</v>
      </c>
      <c r="P23" s="3">
        <v>0.99390000000000001</v>
      </c>
      <c r="Q23">
        <v>3</v>
      </c>
      <c r="R23" s="3">
        <v>0.98160000000000003</v>
      </c>
      <c r="S23">
        <v>3</v>
      </c>
      <c r="T23" s="3">
        <v>0.98160000000000003</v>
      </c>
      <c r="U23">
        <v>3</v>
      </c>
      <c r="V23" s="3">
        <v>1</v>
      </c>
      <c r="W23">
        <v>3</v>
      </c>
      <c r="X23" s="3">
        <v>1</v>
      </c>
      <c r="Y23">
        <v>3</v>
      </c>
      <c r="Z23" s="3">
        <v>0.96879999999999999</v>
      </c>
      <c r="AA23">
        <v>3</v>
      </c>
      <c r="AB23" s="3">
        <v>2.4500000000000001E-2</v>
      </c>
      <c r="AC23">
        <v>3</v>
      </c>
      <c r="AE23">
        <v>0</v>
      </c>
      <c r="AG23">
        <v>3</v>
      </c>
      <c r="AI23">
        <v>0</v>
      </c>
      <c r="AJ23" s="3">
        <v>1.23E-2</v>
      </c>
      <c r="AK23">
        <v>3</v>
      </c>
      <c r="AL23" s="3">
        <v>0.62</v>
      </c>
      <c r="AM23">
        <v>0</v>
      </c>
      <c r="AN23" s="4">
        <v>1</v>
      </c>
      <c r="AO23">
        <v>3</v>
      </c>
    </row>
    <row r="24" spans="1:41" x14ac:dyDescent="0.25">
      <c r="A24" t="s">
        <v>0</v>
      </c>
      <c r="B24" t="s">
        <v>10</v>
      </c>
      <c r="C24">
        <v>25018639</v>
      </c>
      <c r="D24" t="s">
        <v>75</v>
      </c>
      <c r="E24">
        <v>28.5</v>
      </c>
      <c r="F24" s="3">
        <v>0.90939999999999999</v>
      </c>
      <c r="G24" s="3">
        <v>0.76659999999999995</v>
      </c>
      <c r="H24">
        <v>1.5</v>
      </c>
      <c r="I24" s="3">
        <v>0.99299999999999999</v>
      </c>
      <c r="J24" s="3">
        <v>0.99299999999999999</v>
      </c>
      <c r="K24">
        <v>3</v>
      </c>
      <c r="L24" s="3">
        <v>0.92330000000000001</v>
      </c>
      <c r="M24">
        <v>1.5</v>
      </c>
      <c r="N24" s="3">
        <v>0.83620000000000005</v>
      </c>
      <c r="O24">
        <v>0</v>
      </c>
      <c r="P24" s="3">
        <v>0.91290000000000004</v>
      </c>
      <c r="Q24">
        <v>1.5</v>
      </c>
      <c r="R24" s="3">
        <v>1</v>
      </c>
      <c r="S24">
        <v>3</v>
      </c>
      <c r="T24" s="3">
        <v>0.99299999999999999</v>
      </c>
      <c r="U24">
        <v>3</v>
      </c>
      <c r="V24" s="3">
        <v>0.95589999999999997</v>
      </c>
      <c r="W24">
        <v>3</v>
      </c>
      <c r="X24" s="3">
        <v>0.96970000000000001</v>
      </c>
      <c r="Y24">
        <v>3</v>
      </c>
      <c r="Z24" s="3">
        <v>0.93100000000000005</v>
      </c>
      <c r="AA24">
        <v>3</v>
      </c>
      <c r="AB24" s="3">
        <v>0.14979999999999999</v>
      </c>
      <c r="AC24">
        <v>0</v>
      </c>
      <c r="AE24">
        <v>0</v>
      </c>
      <c r="AG24">
        <v>3</v>
      </c>
      <c r="AH24" s="3">
        <v>0.74470000000000003</v>
      </c>
      <c r="AI24">
        <v>0</v>
      </c>
      <c r="AJ24" s="3">
        <v>0.1394</v>
      </c>
      <c r="AK24">
        <v>0</v>
      </c>
      <c r="AL24" s="3">
        <v>0.71</v>
      </c>
      <c r="AM24">
        <v>0</v>
      </c>
      <c r="AN24" s="4">
        <v>1</v>
      </c>
      <c r="AO24">
        <v>3</v>
      </c>
    </row>
    <row r="25" spans="1:41" x14ac:dyDescent="0.25">
      <c r="A25" t="s">
        <v>0</v>
      </c>
      <c r="B25" t="s">
        <v>10</v>
      </c>
      <c r="C25">
        <v>25018183</v>
      </c>
      <c r="D25" t="s">
        <v>18</v>
      </c>
      <c r="E25">
        <v>33</v>
      </c>
      <c r="F25" s="3">
        <v>0.97709999999999997</v>
      </c>
      <c r="G25" s="3">
        <v>0.92369999999999997</v>
      </c>
      <c r="H25">
        <v>3</v>
      </c>
      <c r="I25" s="3">
        <v>0.98470000000000002</v>
      </c>
      <c r="J25" s="3">
        <v>0.98470000000000002</v>
      </c>
      <c r="K25">
        <v>3</v>
      </c>
      <c r="L25" s="3">
        <v>0.90839999999999999</v>
      </c>
      <c r="M25">
        <v>1.5</v>
      </c>
      <c r="N25" s="3">
        <v>0.87790000000000001</v>
      </c>
      <c r="O25">
        <v>0</v>
      </c>
      <c r="P25" s="3">
        <v>0.93130000000000002</v>
      </c>
      <c r="Q25">
        <v>1.5</v>
      </c>
      <c r="R25" s="3">
        <v>1</v>
      </c>
      <c r="S25">
        <v>3</v>
      </c>
      <c r="T25" s="3">
        <v>0.8397</v>
      </c>
      <c r="U25">
        <v>0</v>
      </c>
      <c r="V25" s="3">
        <v>0.84619999999999995</v>
      </c>
      <c r="W25">
        <v>0</v>
      </c>
      <c r="X25" s="3">
        <v>1</v>
      </c>
      <c r="Y25">
        <v>3</v>
      </c>
      <c r="Z25" s="3">
        <v>0.98329999999999995</v>
      </c>
      <c r="AA25">
        <v>3</v>
      </c>
      <c r="AB25" s="3">
        <v>0.1221</v>
      </c>
      <c r="AC25">
        <v>0</v>
      </c>
      <c r="AE25">
        <v>0</v>
      </c>
      <c r="AG25">
        <v>3</v>
      </c>
      <c r="AH25" s="3">
        <v>0.94440000000000002</v>
      </c>
      <c r="AI25">
        <v>3</v>
      </c>
      <c r="AJ25" s="3">
        <v>7.6E-3</v>
      </c>
      <c r="AK25">
        <v>3</v>
      </c>
      <c r="AL25" s="3">
        <v>1.24</v>
      </c>
      <c r="AM25">
        <v>3</v>
      </c>
      <c r="AN25" s="4">
        <v>1</v>
      </c>
      <c r="AO25">
        <v>3</v>
      </c>
    </row>
    <row r="26" spans="1:41" x14ac:dyDescent="0.25">
      <c r="A26" t="s">
        <v>0</v>
      </c>
      <c r="B26" t="s">
        <v>10</v>
      </c>
      <c r="C26">
        <v>25018191</v>
      </c>
      <c r="D26" t="s">
        <v>19</v>
      </c>
      <c r="E26">
        <v>36</v>
      </c>
      <c r="F26" s="3">
        <v>0.96430000000000005</v>
      </c>
      <c r="G26" s="3">
        <v>0.88390000000000002</v>
      </c>
      <c r="H26">
        <v>3</v>
      </c>
      <c r="I26" s="3">
        <v>0.99109999999999998</v>
      </c>
      <c r="J26" s="3">
        <v>0.99109999999999998</v>
      </c>
      <c r="K26">
        <v>3</v>
      </c>
      <c r="L26" s="3">
        <v>0.97319999999999995</v>
      </c>
      <c r="M26">
        <v>3</v>
      </c>
      <c r="N26" s="3">
        <v>0.94640000000000002</v>
      </c>
      <c r="O26">
        <v>3</v>
      </c>
      <c r="P26" s="3">
        <v>0.97319999999999995</v>
      </c>
      <c r="Q26">
        <v>3</v>
      </c>
      <c r="R26" s="3">
        <v>1</v>
      </c>
      <c r="S26">
        <v>3</v>
      </c>
      <c r="T26" s="3">
        <v>0.91959999999999997</v>
      </c>
      <c r="U26">
        <v>1.5</v>
      </c>
      <c r="V26" s="3">
        <v>0.90629999999999999</v>
      </c>
      <c r="W26">
        <v>1.5</v>
      </c>
      <c r="X26" s="3">
        <v>1</v>
      </c>
      <c r="Y26">
        <v>3</v>
      </c>
      <c r="AA26">
        <v>0</v>
      </c>
      <c r="AB26" s="3">
        <v>5.3600000000000002E-2</v>
      </c>
      <c r="AC26">
        <v>0</v>
      </c>
      <c r="AE26">
        <v>0</v>
      </c>
      <c r="AG26">
        <v>3</v>
      </c>
      <c r="AH26" s="3">
        <v>1</v>
      </c>
      <c r="AI26">
        <v>3</v>
      </c>
      <c r="AJ26" s="3">
        <v>2.6800000000000001E-2</v>
      </c>
      <c r="AK26">
        <v>3</v>
      </c>
      <c r="AL26" s="3">
        <v>0.85</v>
      </c>
      <c r="AM26">
        <v>0</v>
      </c>
      <c r="AN26" s="4">
        <v>1</v>
      </c>
      <c r="AO26">
        <v>3</v>
      </c>
    </row>
    <row r="27" spans="1:41" x14ac:dyDescent="0.25">
      <c r="A27" t="s">
        <v>0</v>
      </c>
      <c r="B27" t="s">
        <v>10</v>
      </c>
      <c r="C27">
        <v>25018060</v>
      </c>
      <c r="D27" t="s">
        <v>20</v>
      </c>
      <c r="E27">
        <v>37.5</v>
      </c>
      <c r="F27" s="3">
        <v>0.96220000000000006</v>
      </c>
      <c r="G27" s="3">
        <v>0.89729999999999999</v>
      </c>
      <c r="H27">
        <v>3</v>
      </c>
      <c r="I27" s="3">
        <v>0.98380000000000001</v>
      </c>
      <c r="J27" s="3">
        <v>0.98380000000000001</v>
      </c>
      <c r="K27">
        <v>3</v>
      </c>
      <c r="L27" s="3">
        <v>0.91349999999999998</v>
      </c>
      <c r="M27">
        <v>1.5</v>
      </c>
      <c r="N27" s="3">
        <v>0.90269999999999995</v>
      </c>
      <c r="O27">
        <v>1.5</v>
      </c>
      <c r="P27" s="3">
        <v>0.92969999999999997</v>
      </c>
      <c r="Q27">
        <v>1.5</v>
      </c>
      <c r="R27" s="3">
        <v>0.97840000000000005</v>
      </c>
      <c r="S27">
        <v>3</v>
      </c>
      <c r="T27" s="3">
        <v>0.96220000000000006</v>
      </c>
      <c r="U27">
        <v>3</v>
      </c>
      <c r="V27" s="3">
        <v>0.98</v>
      </c>
      <c r="W27">
        <v>3</v>
      </c>
      <c r="X27" s="3">
        <v>1</v>
      </c>
      <c r="Y27">
        <v>3</v>
      </c>
      <c r="Z27" s="3">
        <v>1.0204</v>
      </c>
      <c r="AA27">
        <v>3</v>
      </c>
      <c r="AB27" s="3">
        <v>0.15140000000000001</v>
      </c>
      <c r="AC27">
        <v>0</v>
      </c>
      <c r="AE27">
        <v>0</v>
      </c>
      <c r="AG27">
        <v>3</v>
      </c>
      <c r="AH27" s="3">
        <v>0.875</v>
      </c>
      <c r="AI27">
        <v>0</v>
      </c>
      <c r="AJ27" s="3">
        <v>3.78E-2</v>
      </c>
      <c r="AK27">
        <v>3</v>
      </c>
      <c r="AL27" s="3">
        <v>0.94</v>
      </c>
      <c r="AM27">
        <v>3</v>
      </c>
      <c r="AN27" s="4">
        <v>1</v>
      </c>
      <c r="AO27">
        <v>3</v>
      </c>
    </row>
    <row r="28" spans="1:41" x14ac:dyDescent="0.25">
      <c r="A28" t="s">
        <v>0</v>
      </c>
      <c r="B28" t="s">
        <v>10</v>
      </c>
      <c r="C28">
        <v>25018272</v>
      </c>
      <c r="D28" t="s">
        <v>72</v>
      </c>
      <c r="E28">
        <v>37.5</v>
      </c>
      <c r="F28" s="3">
        <v>0.97299999999999998</v>
      </c>
      <c r="G28" s="3">
        <v>0.9234</v>
      </c>
      <c r="H28">
        <v>3</v>
      </c>
      <c r="I28" s="3">
        <v>0.94140000000000001</v>
      </c>
      <c r="J28" s="3">
        <v>0.94140000000000001</v>
      </c>
      <c r="K28">
        <v>3</v>
      </c>
      <c r="L28" s="3">
        <v>0.81979999999999997</v>
      </c>
      <c r="M28">
        <v>0</v>
      </c>
      <c r="N28" s="3">
        <v>0.85140000000000005</v>
      </c>
      <c r="O28">
        <v>0</v>
      </c>
      <c r="P28" s="3">
        <v>0.94140000000000001</v>
      </c>
      <c r="Q28">
        <v>3</v>
      </c>
      <c r="R28" s="3">
        <v>0.97750000000000004</v>
      </c>
      <c r="S28">
        <v>3</v>
      </c>
      <c r="T28" s="3">
        <v>0.90090000000000003</v>
      </c>
      <c r="U28">
        <v>1.5</v>
      </c>
      <c r="V28" s="3">
        <v>0.96879999999999999</v>
      </c>
      <c r="W28">
        <v>3</v>
      </c>
      <c r="X28" s="3">
        <v>0.98209999999999997</v>
      </c>
      <c r="Y28">
        <v>3</v>
      </c>
      <c r="Z28" s="3">
        <v>0.98939999999999995</v>
      </c>
      <c r="AA28">
        <v>3</v>
      </c>
      <c r="AB28" s="3">
        <v>0.22969999999999999</v>
      </c>
      <c r="AC28">
        <v>0</v>
      </c>
      <c r="AE28">
        <v>0</v>
      </c>
      <c r="AG28">
        <v>3</v>
      </c>
      <c r="AH28" s="3">
        <v>1</v>
      </c>
      <c r="AI28">
        <v>3</v>
      </c>
      <c r="AJ28" s="3">
        <v>1.7999999999999999E-2</v>
      </c>
      <c r="AK28">
        <v>3</v>
      </c>
      <c r="AL28" s="3">
        <v>1.22</v>
      </c>
      <c r="AM28">
        <v>3</v>
      </c>
      <c r="AN28" s="4">
        <v>1</v>
      </c>
      <c r="AO28">
        <v>3</v>
      </c>
    </row>
    <row r="29" spans="1:41" x14ac:dyDescent="0.25">
      <c r="A29" t="s">
        <v>0</v>
      </c>
      <c r="B29" t="s">
        <v>10</v>
      </c>
      <c r="C29">
        <v>25018582</v>
      </c>
      <c r="D29" t="s">
        <v>74</v>
      </c>
      <c r="E29">
        <v>40.5</v>
      </c>
      <c r="F29" s="3">
        <v>0.93030000000000002</v>
      </c>
      <c r="G29" s="3">
        <v>0.65029999999999999</v>
      </c>
      <c r="H29">
        <v>3</v>
      </c>
      <c r="I29" s="3">
        <v>0.97950000000000004</v>
      </c>
      <c r="J29" s="3">
        <v>0.97950000000000004</v>
      </c>
      <c r="K29">
        <v>3</v>
      </c>
      <c r="L29" s="3">
        <v>0.92759999999999998</v>
      </c>
      <c r="M29">
        <v>1.5</v>
      </c>
      <c r="N29" s="3">
        <v>0.90710000000000002</v>
      </c>
      <c r="O29">
        <v>1.5</v>
      </c>
      <c r="P29" s="3">
        <v>0.98499999999999999</v>
      </c>
      <c r="Q29">
        <v>3</v>
      </c>
      <c r="R29" s="3">
        <v>0.99729999999999996</v>
      </c>
      <c r="S29">
        <v>3</v>
      </c>
      <c r="T29" s="3">
        <v>0.91669999999999996</v>
      </c>
      <c r="U29">
        <v>1.5</v>
      </c>
      <c r="V29" s="3">
        <v>0.9708</v>
      </c>
      <c r="W29">
        <v>3</v>
      </c>
      <c r="X29" s="3">
        <v>0.97709999999999997</v>
      </c>
      <c r="Y29">
        <v>3</v>
      </c>
      <c r="Z29" s="3">
        <v>0.99480000000000002</v>
      </c>
      <c r="AA29">
        <v>3</v>
      </c>
      <c r="AB29" s="3">
        <v>0.15160000000000001</v>
      </c>
      <c r="AC29">
        <v>0</v>
      </c>
      <c r="AE29">
        <v>0</v>
      </c>
      <c r="AG29">
        <v>3</v>
      </c>
      <c r="AH29" s="3">
        <v>0.96240000000000003</v>
      </c>
      <c r="AI29">
        <v>3</v>
      </c>
      <c r="AK29">
        <v>3</v>
      </c>
      <c r="AL29" s="3">
        <v>0.95</v>
      </c>
      <c r="AM29">
        <v>3</v>
      </c>
      <c r="AN29" s="4">
        <v>1</v>
      </c>
      <c r="AO29">
        <v>3</v>
      </c>
    </row>
    <row r="31" spans="1:41" x14ac:dyDescent="0.25">
      <c r="G31" s="1" t="s">
        <v>61</v>
      </c>
    </row>
    <row r="32" spans="1:41" x14ac:dyDescent="0.25">
      <c r="G32" s="2">
        <f>AVERAGE(E2:E29)</f>
        <v>37.392857142857146</v>
      </c>
    </row>
  </sheetData>
  <sortState ref="A2:AO29">
    <sortCondition ref="D1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Abrantes</dc:creator>
  <cp:lastModifiedBy>Rafael Abrantes</cp:lastModifiedBy>
  <dcterms:created xsi:type="dcterms:W3CDTF">2015-06-05T18:19:34Z</dcterms:created>
  <dcterms:modified xsi:type="dcterms:W3CDTF">2025-12-09T13:01:04Z</dcterms:modified>
</cp:coreProperties>
</file>